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Questa_cartella_di_lavor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PH_USER\Desktop\"/>
    </mc:Choice>
  </mc:AlternateContent>
  <xr:revisionPtr revIDLastSave="0" documentId="8_{B30FC6CF-E52F-4C4C-90DB-C9DC4F94564E}" xr6:coauthVersionLast="47" xr6:coauthVersionMax="47" xr10:uidLastSave="{00000000-0000-0000-0000-000000000000}"/>
  <bookViews>
    <workbookView xWindow="-120" yWindow="-120" windowWidth="29040" windowHeight="15720" tabRatio="442" xr2:uid="{6BE5970C-909C-4DA6-89CD-3F7AC33A6CE4}"/>
  </bookViews>
  <sheets>
    <sheet name="KPI" sheetId="2" r:id="rId1"/>
    <sheet name="GraficiPerKPI" sheetId="4" r:id="rId2"/>
  </sheets>
  <definedNames>
    <definedName name="AnniKpi">+OFFSET(Tabella3[[#This Row],[Data]],,,MAX(DatiExtra[NDPRG]),1)</definedName>
    <definedName name="anscount" hidden="1">1</definedName>
    <definedName name="_xlnm.Print_Area" localSheetId="0">KPI!$O$4:$AF$8</definedName>
    <definedName name="AREASTAMPAAUTO">OFFSET(KPI!$O$4,,,COUNTA(KPI!$P$5:$P$1001),18)</definedName>
    <definedName name="Consuntivi">KPI!$O$5:$AF$56</definedName>
    <definedName name="DateKpi">Tabella3[Data]</definedName>
    <definedName name="FiltroDati_Indicatore">#N/A</definedName>
    <definedName name="KPI">ElencoKPI[Cod Fattore]</definedName>
    <definedName name="LEASING" hidden="1">{#N/A,#N/A,TRUE,"Attivo";#N/A,#N/A,TRUE,"Passivo";#N/A,#N/A,TRUE,"Conto Economico"}</definedName>
    <definedName name="PrimoF">SUMIFS(DatiExtra[Valore del Periodo],DatiExtra[Cod Fattore],KPI!$P1,DatiExtra[Fonte],KPI!A$5,DatiExtra[Data],KPI!A$2)</definedName>
    <definedName name="SecondoF">SUMIFS(DatiExtra[Valore del Periodo],DatiExtra[Cod Fattore],KPI!$R1,DatiExtra[Fonte],KPI!A$5,DatiExtra[Data],KPI!A$2)</definedName>
    <definedName name="wrn.Bilancio." hidden="1">{#N/A,#N/A,TRUE,"Attivo";#N/A,#N/A,TRUE,"Passivo";#N/A,#N/A,TRUE,"Conto Economico"}</definedName>
    <definedName name="wrn.Bracco." hidden="1">{"Bracco_Ce",#N/A,FALSE,"BRACCO_8";"Bracco_SP",#N/A,FALSE,"BRACCO_8";"Bracco_DF",#N/A,FALSE,"BRACCO_8";"Bracco_IB",#N/A,FALSE,"BRACCO_8"}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6" i="2" l="1"/>
  <c r="Y6" i="2" s="1"/>
  <c r="Z6" i="2" s="1"/>
  <c r="AA6" i="2"/>
  <c r="AB6" i="2" s="1"/>
  <c r="AC6" i="2" s="1"/>
  <c r="AD6" i="2"/>
  <c r="AE6" i="2" s="1"/>
  <c r="AF6" i="2" s="1"/>
  <c r="U6" i="2"/>
  <c r="V6" i="2" s="1"/>
  <c r="W6" i="2" s="1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J6" i="2" l="1"/>
  <c r="K6" i="2" s="1"/>
  <c r="L6" i="2" s="1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AJ6" i="2" l="1"/>
  <c r="K39" i="2"/>
  <c r="L39" i="2" s="1"/>
  <c r="K13" i="2"/>
  <c r="L13" i="2" s="1"/>
  <c r="K60" i="2"/>
  <c r="L60" i="2" s="1"/>
  <c r="K53" i="2"/>
  <c r="L53" i="2" s="1"/>
  <c r="K52" i="2"/>
  <c r="L52" i="2" s="1"/>
  <c r="K44" i="2"/>
  <c r="L44" i="2" s="1"/>
  <c r="K36" i="2"/>
  <c r="L36" i="2" s="1"/>
  <c r="K28" i="2"/>
  <c r="L28" i="2" s="1"/>
  <c r="K20" i="2"/>
  <c r="L20" i="2" s="1"/>
  <c r="K12" i="2"/>
  <c r="L12" i="2" s="1"/>
  <c r="K45" i="2"/>
  <c r="L45" i="2" s="1"/>
  <c r="K59" i="2"/>
  <c r="L59" i="2" s="1"/>
  <c r="K51" i="2"/>
  <c r="L51" i="2" s="1"/>
  <c r="K43" i="2"/>
  <c r="L43" i="2" s="1"/>
  <c r="K35" i="2"/>
  <c r="L35" i="2" s="1"/>
  <c r="K27" i="2"/>
  <c r="L27" i="2" s="1"/>
  <c r="K19" i="2"/>
  <c r="L19" i="2" s="1"/>
  <c r="K11" i="2"/>
  <c r="L11" i="2" s="1"/>
  <c r="K58" i="2"/>
  <c r="L58" i="2" s="1"/>
  <c r="K50" i="2"/>
  <c r="L50" i="2" s="1"/>
  <c r="K42" i="2"/>
  <c r="L42" i="2" s="1"/>
  <c r="K34" i="2"/>
  <c r="L34" i="2" s="1"/>
  <c r="K26" i="2"/>
  <c r="L26" i="2" s="1"/>
  <c r="K18" i="2"/>
  <c r="L18" i="2" s="1"/>
  <c r="K10" i="2"/>
  <c r="L10" i="2" s="1"/>
  <c r="K57" i="2"/>
  <c r="L57" i="2" s="1"/>
  <c r="K49" i="2"/>
  <c r="L49" i="2" s="1"/>
  <c r="K41" i="2"/>
  <c r="L41" i="2" s="1"/>
  <c r="K33" i="2"/>
  <c r="L33" i="2" s="1"/>
  <c r="K25" i="2"/>
  <c r="L25" i="2" s="1"/>
  <c r="K17" i="2"/>
  <c r="L17" i="2" s="1"/>
  <c r="K9" i="2"/>
  <c r="L9" i="2" s="1"/>
  <c r="K61" i="2"/>
  <c r="L61" i="2" s="1"/>
  <c r="K37" i="2"/>
  <c r="L37" i="2" s="1"/>
  <c r="K29" i="2"/>
  <c r="L29" i="2" s="1"/>
  <c r="K21" i="2"/>
  <c r="L21" i="2" s="1"/>
  <c r="K56" i="2"/>
  <c r="L56" i="2" s="1"/>
  <c r="K48" i="2"/>
  <c r="L48" i="2" s="1"/>
  <c r="K40" i="2"/>
  <c r="L40" i="2" s="1"/>
  <c r="K32" i="2"/>
  <c r="L32" i="2" s="1"/>
  <c r="K24" i="2"/>
  <c r="L24" i="2" s="1"/>
  <c r="K16" i="2"/>
  <c r="L16" i="2" s="1"/>
  <c r="K8" i="2"/>
  <c r="L8" i="2" s="1"/>
  <c r="K55" i="2"/>
  <c r="L55" i="2" s="1"/>
  <c r="K47" i="2"/>
  <c r="L47" i="2" s="1"/>
  <c r="K31" i="2"/>
  <c r="L31" i="2" s="1"/>
  <c r="K23" i="2"/>
  <c r="L23" i="2" s="1"/>
  <c r="K15" i="2"/>
  <c r="L15" i="2" s="1"/>
  <c r="K7" i="2"/>
  <c r="L7" i="2" s="1"/>
  <c r="K54" i="2"/>
  <c r="L54" i="2" s="1"/>
  <c r="K46" i="2"/>
  <c r="L46" i="2" s="1"/>
  <c r="K38" i="2"/>
  <c r="L38" i="2" s="1"/>
  <c r="K30" i="2"/>
  <c r="L30" i="2" s="1"/>
  <c r="K22" i="2"/>
  <c r="L22" i="2" s="1"/>
  <c r="K14" i="2"/>
  <c r="L14" i="2" s="1"/>
  <c r="AI7" i="2" l="1"/>
  <c r="AJ7" i="2" l="1"/>
  <c r="AI8" i="2"/>
  <c r="AI9" i="2" l="1"/>
  <c r="AJ8" i="2"/>
  <c r="AI10" i="2" l="1"/>
  <c r="AJ9" i="2"/>
  <c r="AI11" i="2" l="1"/>
  <c r="AJ10" i="2"/>
  <c r="AI12" i="2" l="1"/>
  <c r="AJ11" i="2"/>
  <c r="AI13" i="2" l="1"/>
  <c r="AJ12" i="2"/>
  <c r="AI14" i="2" l="1"/>
  <c r="AJ13" i="2"/>
  <c r="AI15" i="2" l="1"/>
  <c r="AJ14" i="2"/>
  <c r="AI16" i="2" l="1"/>
  <c r="AJ15" i="2"/>
  <c r="AI17" i="2" l="1"/>
  <c r="AJ16" i="2"/>
  <c r="AI18" i="2" l="1"/>
  <c r="AJ17" i="2"/>
  <c r="AI19" i="2" l="1"/>
  <c r="AJ18" i="2"/>
  <c r="AI20" i="2" l="1"/>
  <c r="AJ19" i="2"/>
  <c r="AI21" i="2" l="1"/>
  <c r="AJ20" i="2"/>
  <c r="AI22" i="2" l="1"/>
  <c r="AJ21" i="2"/>
  <c r="AI23" i="2" l="1"/>
  <c r="AJ22" i="2"/>
  <c r="AI24" i="2" l="1"/>
  <c r="AJ23" i="2"/>
  <c r="AI25" i="2" l="1"/>
  <c r="AJ24" i="2"/>
  <c r="AI26" i="2" l="1"/>
  <c r="AJ25" i="2"/>
  <c r="AI27" i="2" l="1"/>
  <c r="AJ26" i="2"/>
  <c r="AI28" i="2" l="1"/>
  <c r="AJ27" i="2"/>
  <c r="AI29" i="2" l="1"/>
  <c r="AJ28" i="2"/>
  <c r="AI30" i="2" l="1"/>
  <c r="AJ29" i="2"/>
  <c r="AI31" i="2" l="1"/>
  <c r="AJ30" i="2"/>
  <c r="AI32" i="2" l="1"/>
  <c r="AJ31" i="2"/>
  <c r="AI33" i="2" l="1"/>
  <c r="AJ32" i="2"/>
  <c r="AI34" i="2" l="1"/>
  <c r="AJ33" i="2"/>
  <c r="AI35" i="2" l="1"/>
  <c r="AJ34" i="2"/>
  <c r="AI36" i="2" l="1"/>
  <c r="AJ35" i="2"/>
  <c r="AI37" i="2" l="1"/>
  <c r="AJ36" i="2"/>
  <c r="AI38" i="2" l="1"/>
  <c r="AJ37" i="2"/>
  <c r="AI39" i="2" l="1"/>
  <c r="AJ38" i="2"/>
  <c r="AI40" i="2" l="1"/>
  <c r="AJ39" i="2"/>
  <c r="AI41" i="2" l="1"/>
  <c r="AJ40" i="2"/>
  <c r="AI42" i="2" l="1"/>
  <c r="AJ41" i="2"/>
  <c r="AI43" i="2" l="1"/>
  <c r="AJ42" i="2"/>
  <c r="AI44" i="2" l="1"/>
  <c r="AJ43" i="2"/>
  <c r="AI45" i="2" l="1"/>
  <c r="AJ44" i="2"/>
  <c r="AI46" i="2" l="1"/>
  <c r="AJ45" i="2"/>
  <c r="AI47" i="2" l="1"/>
  <c r="AJ46" i="2"/>
  <c r="AI48" i="2" l="1"/>
  <c r="AJ47" i="2"/>
  <c r="AI49" i="2" l="1"/>
  <c r="AJ48" i="2"/>
  <c r="AI50" i="2" l="1"/>
  <c r="AJ49" i="2"/>
  <c r="AI51" i="2" l="1"/>
  <c r="AJ50" i="2"/>
  <c r="AI52" i="2" l="1"/>
  <c r="AJ51" i="2"/>
  <c r="AI53" i="2" l="1"/>
  <c r="AJ52" i="2"/>
  <c r="AI54" i="2" l="1"/>
  <c r="AJ53" i="2"/>
  <c r="AE2" i="2"/>
  <c r="AD2" i="2"/>
  <c r="AB2" i="2"/>
  <c r="AA2" i="2"/>
  <c r="Y2" i="2"/>
  <c r="X2" i="2"/>
  <c r="V2" i="2"/>
  <c r="U2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S8" i="2"/>
  <c r="S7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6" i="2"/>
  <c r="E7" i="2"/>
  <c r="E8" i="2"/>
  <c r="E9" i="2"/>
  <c r="AE8" i="2" l="1" a="1"/>
  <c r="AE8" i="2" s="1"/>
  <c r="AE19" i="2" a="1"/>
  <c r="AE19" i="2" s="1"/>
  <c r="AE24" i="2" a="1"/>
  <c r="AE24" i="2" s="1"/>
  <c r="AF24" i="2" s="1"/>
  <c r="AE35" i="2" a="1"/>
  <c r="AE35" i="2" s="1"/>
  <c r="AE40" i="2" a="1"/>
  <c r="AE40" i="2" s="1"/>
  <c r="AF40" i="2" s="1"/>
  <c r="AE51" i="2" a="1"/>
  <c r="AE51" i="2" s="1"/>
  <c r="AE7" i="2" a="1"/>
  <c r="AE7" i="2" s="1"/>
  <c r="AE13" i="2" a="1"/>
  <c r="AE13" i="2" s="1"/>
  <c r="AF13" i="2" s="1"/>
  <c r="AE9" i="2" a="1"/>
  <c r="AE9" i="2" s="1"/>
  <c r="AE14" i="2" a="1"/>
  <c r="AE14" i="2" s="1"/>
  <c r="AE25" i="2" a="1"/>
  <c r="AE25" i="2" s="1"/>
  <c r="AF25" i="2" s="1"/>
  <c r="AE30" i="2" a="1"/>
  <c r="AE30" i="2" s="1"/>
  <c r="AE41" i="2" a="1"/>
  <c r="AE41" i="2" s="1"/>
  <c r="AE46" i="2" a="1"/>
  <c r="AE46" i="2" s="1"/>
  <c r="AE45" i="2" a="1"/>
  <c r="AE45" i="2" s="1"/>
  <c r="AF45" i="2" s="1"/>
  <c r="AE15" i="2" a="1"/>
  <c r="AE15" i="2" s="1"/>
  <c r="AF15" i="2" s="1"/>
  <c r="AE20" i="2" a="1"/>
  <c r="AE20" i="2" s="1"/>
  <c r="AE31" i="2" a="1"/>
  <c r="AE31" i="2" s="1"/>
  <c r="AE36" i="2" a="1"/>
  <c r="AE36" i="2" s="1"/>
  <c r="AE47" i="2" a="1"/>
  <c r="AE47" i="2" s="1"/>
  <c r="AE52" i="2" a="1"/>
  <c r="AE52" i="2" s="1"/>
  <c r="AF52" i="2" s="1"/>
  <c r="AE44" i="2" a="1"/>
  <c r="AE44" i="2" s="1"/>
  <c r="AE18" i="2" a="1"/>
  <c r="AE18" i="2" s="1"/>
  <c r="AF18" i="2" s="1"/>
  <c r="AE56" i="2" a="1"/>
  <c r="AE56" i="2" s="1"/>
  <c r="AF56" i="2" s="1"/>
  <c r="AE10" i="2" a="1"/>
  <c r="AE10" i="2" s="1"/>
  <c r="AE21" i="2" a="1"/>
  <c r="AE21" i="2" s="1"/>
  <c r="AE26" i="2" a="1"/>
  <c r="AE26" i="2" s="1"/>
  <c r="AF26" i="2" s="1"/>
  <c r="AE37" i="2" a="1"/>
  <c r="AE37" i="2" s="1"/>
  <c r="AE42" i="2" a="1"/>
  <c r="AE42" i="2" s="1"/>
  <c r="AE53" i="2" a="1"/>
  <c r="AE53" i="2" s="1"/>
  <c r="AE23" i="2" a="1"/>
  <c r="AE23" i="2" s="1"/>
  <c r="AF23" i="2" s="1"/>
  <c r="AE50" i="2" a="1"/>
  <c r="AE50" i="2" s="1"/>
  <c r="AF50" i="2" s="1"/>
  <c r="AE11" i="2" a="1"/>
  <c r="AE11" i="2" s="1"/>
  <c r="AE16" i="2" a="1"/>
  <c r="AE16" i="2" s="1"/>
  <c r="AE27" i="2" a="1"/>
  <c r="AE27" i="2" s="1"/>
  <c r="AF27" i="2" s="1"/>
  <c r="AE32" i="2" a="1"/>
  <c r="AE32" i="2" s="1"/>
  <c r="AE43" i="2" a="1"/>
  <c r="AE43" i="2" s="1"/>
  <c r="AE48" i="2" a="1"/>
  <c r="AE48" i="2" s="1"/>
  <c r="AE54" i="2" a="1"/>
  <c r="AE54" i="2" s="1"/>
  <c r="AF54" i="2" s="1"/>
  <c r="AE28" i="2" a="1"/>
  <c r="AE28" i="2" s="1"/>
  <c r="AF28" i="2" s="1"/>
  <c r="AE34" i="2" a="1"/>
  <c r="AE34" i="2" s="1"/>
  <c r="AE17" i="2" a="1"/>
  <c r="AE17" i="2" s="1"/>
  <c r="AE22" i="2" a="1"/>
  <c r="AE22" i="2" s="1"/>
  <c r="AF22" i="2" s="1"/>
  <c r="AE33" i="2" a="1"/>
  <c r="AE33" i="2" s="1"/>
  <c r="AE38" i="2" a="1"/>
  <c r="AE38" i="2" s="1"/>
  <c r="AE49" i="2" a="1"/>
  <c r="AE49" i="2" s="1"/>
  <c r="AE55" i="2" a="1"/>
  <c r="AE55" i="2" s="1"/>
  <c r="AF55" i="2" s="1"/>
  <c r="AE12" i="2" a="1"/>
  <c r="AE12" i="2" s="1"/>
  <c r="AF12" i="2" s="1"/>
  <c r="AE39" i="2" a="1"/>
  <c r="AE39" i="2" s="1"/>
  <c r="AE29" i="2" a="1"/>
  <c r="AE29" i="2" s="1"/>
  <c r="AD14" i="2" a="1"/>
  <c r="AD14" i="2" s="1"/>
  <c r="AD20" i="2" a="1"/>
  <c r="AD20" i="2" s="1"/>
  <c r="AD27" i="2" a="1"/>
  <c r="AD27" i="2" s="1"/>
  <c r="AD33" i="2" a="1"/>
  <c r="AD33" i="2" s="1"/>
  <c r="AD46" i="2" a="1"/>
  <c r="AD46" i="2" s="1"/>
  <c r="AD54" i="2" a="1"/>
  <c r="AD54" i="2" s="1"/>
  <c r="AD13" i="2" a="1"/>
  <c r="AD13" i="2" s="1"/>
  <c r="AD8" i="2" a="1"/>
  <c r="AD8" i="2" s="1"/>
  <c r="AD15" i="2" a="1"/>
  <c r="AD15" i="2" s="1"/>
  <c r="AD21" i="2" a="1"/>
  <c r="AD21" i="2" s="1"/>
  <c r="AD34" i="2" a="1"/>
  <c r="AD34" i="2" s="1"/>
  <c r="AD40" i="2" a="1"/>
  <c r="AD40" i="2" s="1"/>
  <c r="AD47" i="2" a="1"/>
  <c r="AD47" i="2" s="1"/>
  <c r="AD55" i="2" a="1"/>
  <c r="AD55" i="2" s="1"/>
  <c r="AD12" i="2" a="1"/>
  <c r="AD12" i="2" s="1"/>
  <c r="AD52" i="2" a="1"/>
  <c r="AD52" i="2" s="1"/>
  <c r="AD39" i="2" a="1"/>
  <c r="AD39" i="2" s="1"/>
  <c r="AD9" i="2" a="1"/>
  <c r="AD9" i="2" s="1"/>
  <c r="AD22" i="2" a="1"/>
  <c r="AD22" i="2" s="1"/>
  <c r="AD28" i="2" a="1"/>
  <c r="AD28" i="2" s="1"/>
  <c r="AD35" i="2" a="1"/>
  <c r="AD35" i="2" s="1"/>
  <c r="AD41" i="2" a="1"/>
  <c r="AD41" i="2" s="1"/>
  <c r="AD48" i="2" a="1"/>
  <c r="AD48" i="2" s="1"/>
  <c r="AD56" i="2" a="1"/>
  <c r="AD56" i="2" s="1"/>
  <c r="AD50" i="2" a="1"/>
  <c r="AD50" i="2" s="1"/>
  <c r="AD19" i="2" a="1"/>
  <c r="AD19" i="2" s="1"/>
  <c r="AD53" i="2" a="1"/>
  <c r="AD53" i="2" s="1"/>
  <c r="AD10" i="2" a="1"/>
  <c r="AD10" i="2" s="1"/>
  <c r="AD16" i="2" a="1"/>
  <c r="AD16" i="2" s="1"/>
  <c r="AD23" i="2" a="1"/>
  <c r="AD23" i="2" s="1"/>
  <c r="AD29" i="2" a="1"/>
  <c r="AD29" i="2" s="1"/>
  <c r="AD42" i="2" a="1"/>
  <c r="AD42" i="2" s="1"/>
  <c r="AD49" i="2" a="1"/>
  <c r="AD49" i="2" s="1"/>
  <c r="AD7" i="2" a="1"/>
  <c r="AD7" i="2" s="1"/>
  <c r="AD44" i="2" a="1"/>
  <c r="AD44" i="2" s="1"/>
  <c r="AD45" i="2" a="1"/>
  <c r="AD45" i="2" s="1"/>
  <c r="AD11" i="2" a="1"/>
  <c r="AD11" i="2" s="1"/>
  <c r="AD17" i="2" a="1"/>
  <c r="AD17" i="2" s="1"/>
  <c r="AD30" i="2" a="1"/>
  <c r="AD30" i="2" s="1"/>
  <c r="AD36" i="2" a="1"/>
  <c r="AD36" i="2" s="1"/>
  <c r="AD43" i="2" a="1"/>
  <c r="AD43" i="2" s="1"/>
  <c r="AD25" i="2" a="1"/>
  <c r="AD25" i="2" s="1"/>
  <c r="AD26" i="2" a="1"/>
  <c r="AD26" i="2" s="1"/>
  <c r="AD18" i="2" a="1"/>
  <c r="AD18" i="2" s="1"/>
  <c r="AD24" i="2" a="1"/>
  <c r="AD24" i="2" s="1"/>
  <c r="AD31" i="2" a="1"/>
  <c r="AD31" i="2" s="1"/>
  <c r="AD37" i="2" a="1"/>
  <c r="AD37" i="2" s="1"/>
  <c r="AD51" i="2" a="1"/>
  <c r="AD51" i="2" s="1"/>
  <c r="AD38" i="2" a="1"/>
  <c r="AD38" i="2" s="1"/>
  <c r="AD32" i="2" a="1"/>
  <c r="AD32" i="2" s="1"/>
  <c r="AA9" i="2" a="1"/>
  <c r="AA9" i="2" s="1"/>
  <c r="AA14" i="2" a="1"/>
  <c r="AA14" i="2" s="1"/>
  <c r="AA25" i="2" a="1"/>
  <c r="AA25" i="2" s="1"/>
  <c r="AA30" i="2" a="1"/>
  <c r="AA30" i="2" s="1"/>
  <c r="AA41" i="2" a="1"/>
  <c r="AA41" i="2" s="1"/>
  <c r="AA46" i="2" a="1"/>
  <c r="AA46" i="2" s="1"/>
  <c r="AA40" i="2" a="1"/>
  <c r="AA40" i="2" s="1"/>
  <c r="AA15" i="2" a="1"/>
  <c r="AA15" i="2" s="1"/>
  <c r="AA20" i="2" a="1"/>
  <c r="AA20" i="2" s="1"/>
  <c r="AA31" i="2" a="1"/>
  <c r="AA31" i="2" s="1"/>
  <c r="AA36" i="2" a="1"/>
  <c r="AA36" i="2" s="1"/>
  <c r="AA47" i="2" a="1"/>
  <c r="AA47" i="2" s="1"/>
  <c r="AA52" i="2" a="1"/>
  <c r="AA52" i="2" s="1"/>
  <c r="AA24" i="2" a="1"/>
  <c r="AA24" i="2" s="1"/>
  <c r="AA10" i="2" a="1"/>
  <c r="AA10" i="2" s="1"/>
  <c r="AA21" i="2" a="1"/>
  <c r="AA21" i="2" s="1"/>
  <c r="AA26" i="2" a="1"/>
  <c r="AA26" i="2" s="1"/>
  <c r="AA37" i="2" a="1"/>
  <c r="AA37" i="2" s="1"/>
  <c r="AA42" i="2" a="1"/>
  <c r="AA42" i="2" s="1"/>
  <c r="AA53" i="2" a="1"/>
  <c r="AA53" i="2" s="1"/>
  <c r="AA35" i="2" a="1"/>
  <c r="AA35" i="2" s="1"/>
  <c r="AA11" i="2" a="1"/>
  <c r="AA11" i="2" s="1"/>
  <c r="AA16" i="2" a="1"/>
  <c r="AA16" i="2" s="1"/>
  <c r="AA27" i="2" a="1"/>
  <c r="AA27" i="2" s="1"/>
  <c r="AA32" i="2" a="1"/>
  <c r="AA32" i="2" s="1"/>
  <c r="AA43" i="2" a="1"/>
  <c r="AA43" i="2" s="1"/>
  <c r="AA48" i="2" a="1"/>
  <c r="AA48" i="2" s="1"/>
  <c r="AA54" i="2" a="1"/>
  <c r="AA54" i="2" s="1"/>
  <c r="AA51" i="2" a="1"/>
  <c r="AA51" i="2" s="1"/>
  <c r="AA17" i="2" a="1"/>
  <c r="AA17" i="2" s="1"/>
  <c r="AA22" i="2" a="1"/>
  <c r="AA22" i="2" s="1"/>
  <c r="AA33" i="2" a="1"/>
  <c r="AA33" i="2" s="1"/>
  <c r="AA38" i="2" a="1"/>
  <c r="AA38" i="2" s="1"/>
  <c r="AA49" i="2" a="1"/>
  <c r="AA49" i="2" s="1"/>
  <c r="AA55" i="2" a="1"/>
  <c r="AA55" i="2" s="1"/>
  <c r="AA8" i="2" a="1"/>
  <c r="AA8" i="2" s="1"/>
  <c r="AA12" i="2" a="1"/>
  <c r="AA12" i="2" s="1"/>
  <c r="AA23" i="2" a="1"/>
  <c r="AA23" i="2" s="1"/>
  <c r="AA28" i="2" a="1"/>
  <c r="AA28" i="2" s="1"/>
  <c r="AA39" i="2" a="1"/>
  <c r="AA39" i="2" s="1"/>
  <c r="AA44" i="2" a="1"/>
  <c r="AA44" i="2" s="1"/>
  <c r="AA56" i="2" a="1"/>
  <c r="AA56" i="2" s="1"/>
  <c r="AA13" i="2" a="1"/>
  <c r="AA13" i="2" s="1"/>
  <c r="AA18" i="2" a="1"/>
  <c r="AA18" i="2" s="1"/>
  <c r="AA29" i="2" a="1"/>
  <c r="AA29" i="2" s="1"/>
  <c r="AA34" i="2" a="1"/>
  <c r="AA34" i="2" s="1"/>
  <c r="AA45" i="2" a="1"/>
  <c r="AA45" i="2" s="1"/>
  <c r="AA50" i="2" a="1"/>
  <c r="AA50" i="2" s="1"/>
  <c r="AA7" i="2" a="1"/>
  <c r="AA7" i="2" s="1"/>
  <c r="AA19" i="2" a="1"/>
  <c r="AA19" i="2" s="1"/>
  <c r="AB18" i="2" a="1"/>
  <c r="AB18" i="2" s="1"/>
  <c r="AC18" i="2" s="1"/>
  <c r="AB24" i="2" a="1"/>
  <c r="AB24" i="2" s="1"/>
  <c r="AC24" i="2" s="1"/>
  <c r="AB31" i="2" a="1"/>
  <c r="AB31" i="2" s="1"/>
  <c r="AB37" i="2" a="1"/>
  <c r="AB37" i="2" s="1"/>
  <c r="AB51" i="2" a="1"/>
  <c r="AB51" i="2" s="1"/>
  <c r="AB30" i="2" a="1"/>
  <c r="AB30" i="2" s="1"/>
  <c r="AB12" i="2" a="1"/>
  <c r="AB12" i="2" s="1"/>
  <c r="AC12" i="2" s="1"/>
  <c r="AB19" i="2" a="1"/>
  <c r="AB19" i="2" s="1"/>
  <c r="AB25" i="2" a="1"/>
  <c r="AB25" i="2" s="1"/>
  <c r="AC25" i="2" s="1"/>
  <c r="AB38" i="2" a="1"/>
  <c r="AB38" i="2" s="1"/>
  <c r="AC38" i="2" s="1"/>
  <c r="AB44" i="2" a="1"/>
  <c r="AB44" i="2" s="1"/>
  <c r="AB52" i="2" a="1"/>
  <c r="AB52" i="2" s="1"/>
  <c r="AB11" i="2" a="1"/>
  <c r="AB11" i="2" s="1"/>
  <c r="AC11" i="2" s="1"/>
  <c r="AB13" i="2" a="1"/>
  <c r="AB13" i="2" s="1"/>
  <c r="AC13" i="2" s="1"/>
  <c r="AB26" i="2" a="1"/>
  <c r="AB26" i="2" s="1"/>
  <c r="AC26" i="2" s="1"/>
  <c r="AB32" i="2" a="1"/>
  <c r="AB32" i="2" s="1"/>
  <c r="AB39" i="2" a="1"/>
  <c r="AB39" i="2" s="1"/>
  <c r="AC39" i="2" s="1"/>
  <c r="AB45" i="2" a="1"/>
  <c r="AB45" i="2" s="1"/>
  <c r="AC45" i="2" s="1"/>
  <c r="AB53" i="2" a="1"/>
  <c r="AB53" i="2" s="1"/>
  <c r="AB43" i="2" a="1"/>
  <c r="AB43" i="2" s="1"/>
  <c r="AB14" i="2" a="1"/>
  <c r="AB14" i="2" s="1"/>
  <c r="AB20" i="2" a="1"/>
  <c r="AB20" i="2" s="1"/>
  <c r="AB27" i="2" a="1"/>
  <c r="AB27" i="2" s="1"/>
  <c r="AC27" i="2" s="1"/>
  <c r="AB33" i="2" a="1"/>
  <c r="AB33" i="2" s="1"/>
  <c r="AB46" i="2" a="1"/>
  <c r="AB46" i="2" s="1"/>
  <c r="AC46" i="2" s="1"/>
  <c r="AB54" i="2" a="1"/>
  <c r="AB54" i="2" s="1"/>
  <c r="AC54" i="2" s="1"/>
  <c r="AB50" i="2" a="1"/>
  <c r="AB50" i="2" s="1"/>
  <c r="AB8" i="2" a="1"/>
  <c r="AB8" i="2" s="1"/>
  <c r="AB15" i="2" a="1"/>
  <c r="AB15" i="2" s="1"/>
  <c r="AB21" i="2" a="1"/>
  <c r="AB21" i="2" s="1"/>
  <c r="AC21" i="2" s="1"/>
  <c r="AB34" i="2" a="1"/>
  <c r="AB34" i="2" s="1"/>
  <c r="AB40" i="2" a="1"/>
  <c r="AB40" i="2" s="1"/>
  <c r="AB47" i="2" a="1"/>
  <c r="AB47" i="2" s="1"/>
  <c r="AC47" i="2" s="1"/>
  <c r="AB55" i="2" a="1"/>
  <c r="AB55" i="2" s="1"/>
  <c r="AC55" i="2" s="1"/>
  <c r="AB9" i="2" a="1"/>
  <c r="AB9" i="2" s="1"/>
  <c r="AB22" i="2" a="1"/>
  <c r="AB22" i="2" s="1"/>
  <c r="AC22" i="2" s="1"/>
  <c r="AB28" i="2" a="1"/>
  <c r="AB28" i="2" s="1"/>
  <c r="AC28" i="2" s="1"/>
  <c r="AB35" i="2" a="1"/>
  <c r="AB35" i="2" s="1"/>
  <c r="AC35" i="2" s="1"/>
  <c r="AB41" i="2" a="1"/>
  <c r="AB41" i="2" s="1"/>
  <c r="AC41" i="2" s="1"/>
  <c r="AB48" i="2" a="1"/>
  <c r="AB48" i="2" s="1"/>
  <c r="AB56" i="2" a="1"/>
  <c r="AB56" i="2" s="1"/>
  <c r="AC56" i="2" s="1"/>
  <c r="AB36" i="2" a="1"/>
  <c r="AB36" i="2" s="1"/>
  <c r="AC36" i="2" s="1"/>
  <c r="AB10" i="2" a="1"/>
  <c r="AB10" i="2" s="1"/>
  <c r="AC10" i="2" s="1"/>
  <c r="AB16" i="2" a="1"/>
  <c r="AB16" i="2" s="1"/>
  <c r="AC16" i="2" s="1"/>
  <c r="AB23" i="2" a="1"/>
  <c r="AB23" i="2" s="1"/>
  <c r="AC23" i="2" s="1"/>
  <c r="AB29" i="2" a="1"/>
  <c r="AB29" i="2" s="1"/>
  <c r="AC29" i="2" s="1"/>
  <c r="AB42" i="2" a="1"/>
  <c r="AB42" i="2" s="1"/>
  <c r="AC42" i="2" s="1"/>
  <c r="AB49" i="2" a="1"/>
  <c r="AB49" i="2" s="1"/>
  <c r="AC49" i="2" s="1"/>
  <c r="AB7" i="2" a="1"/>
  <c r="AB7" i="2" s="1"/>
  <c r="AB17" i="2" a="1"/>
  <c r="AB17" i="2" s="1"/>
  <c r="AC17" i="2" s="1"/>
  <c r="Y9" i="2" a="1"/>
  <c r="Y9" i="2" s="1"/>
  <c r="Y22" i="2" a="1"/>
  <c r="Y22" i="2" s="1"/>
  <c r="Y28" i="2" a="1"/>
  <c r="Y28" i="2" s="1"/>
  <c r="Z28" i="2" s="1"/>
  <c r="Y35" i="2" a="1"/>
  <c r="Y35" i="2" s="1"/>
  <c r="Y41" i="2" a="1"/>
  <c r="Y41" i="2" s="1"/>
  <c r="Z41" i="2" s="1"/>
  <c r="Y55" i="2" a="1"/>
  <c r="Y55" i="2" s="1"/>
  <c r="Y53" i="2" a="1"/>
  <c r="Y53" i="2" s="1"/>
  <c r="Z53" i="2" s="1"/>
  <c r="Y47" i="2" a="1"/>
  <c r="Y47" i="2" s="1"/>
  <c r="Z47" i="2" s="1"/>
  <c r="Y10" i="2" a="1"/>
  <c r="Y10" i="2" s="1"/>
  <c r="Y16" i="2" a="1"/>
  <c r="Y16" i="2" s="1"/>
  <c r="Y23" i="2" a="1"/>
  <c r="Y23" i="2" s="1"/>
  <c r="Z23" i="2" s="1"/>
  <c r="Y29" i="2" a="1"/>
  <c r="Y29" i="2" s="1"/>
  <c r="Z29" i="2" s="1"/>
  <c r="Y42" i="2" a="1"/>
  <c r="Y42" i="2" s="1"/>
  <c r="Z42" i="2" s="1"/>
  <c r="Y48" i="2" a="1"/>
  <c r="Y48" i="2" s="1"/>
  <c r="Y56" i="2" a="1"/>
  <c r="Y56" i="2" s="1"/>
  <c r="Z56" i="2" s="1"/>
  <c r="Y46" i="2" a="1"/>
  <c r="Y46" i="2" s="1"/>
  <c r="Z46" i="2" s="1"/>
  <c r="Y21" i="2" a="1"/>
  <c r="Y21" i="2" s="1"/>
  <c r="Y11" i="2" a="1"/>
  <c r="Y11" i="2" s="1"/>
  <c r="Y17" i="2" a="1"/>
  <c r="Y17" i="2" s="1"/>
  <c r="Z17" i="2" s="1"/>
  <c r="Y30" i="2" a="1"/>
  <c r="Y30" i="2" s="1"/>
  <c r="Z30" i="2" s="1"/>
  <c r="Y36" i="2" a="1"/>
  <c r="Y36" i="2" s="1"/>
  <c r="Z36" i="2" s="1"/>
  <c r="Y43" i="2" a="1"/>
  <c r="Y43" i="2" s="1"/>
  <c r="Y49" i="2" a="1"/>
  <c r="Y49" i="2" s="1"/>
  <c r="Z49" i="2" s="1"/>
  <c r="Y7" i="2" a="1"/>
  <c r="Y7" i="2" s="1"/>
  <c r="Y14" i="2" a="1"/>
  <c r="Y14" i="2" s="1"/>
  <c r="Y15" i="2" a="1"/>
  <c r="Y15" i="2" s="1"/>
  <c r="Y54" i="2" a="1"/>
  <c r="Y54" i="2" s="1"/>
  <c r="Z54" i="2" s="1"/>
  <c r="Y18" i="2" a="1"/>
  <c r="Y18" i="2" s="1"/>
  <c r="Z18" i="2" s="1"/>
  <c r="Y24" i="2" a="1"/>
  <c r="Y24" i="2" s="1"/>
  <c r="Z24" i="2" s="1"/>
  <c r="Y31" i="2" a="1"/>
  <c r="Y31" i="2" s="1"/>
  <c r="Y37" i="2" a="1"/>
  <c r="Y37" i="2" s="1"/>
  <c r="Z37" i="2" s="1"/>
  <c r="Y50" i="2" a="1"/>
  <c r="Y50" i="2" s="1"/>
  <c r="Z50" i="2" s="1"/>
  <c r="Y27" i="2" a="1"/>
  <c r="Y27" i="2" s="1"/>
  <c r="Y34" i="2" a="1"/>
  <c r="Y34" i="2" s="1"/>
  <c r="Y12" i="2" a="1"/>
  <c r="Y12" i="2" s="1"/>
  <c r="Z12" i="2" s="1"/>
  <c r="Y19" i="2" a="1"/>
  <c r="Y19" i="2" s="1"/>
  <c r="Y25" i="2" a="1"/>
  <c r="Y25" i="2" s="1"/>
  <c r="Z25" i="2" s="1"/>
  <c r="Y38" i="2" a="1"/>
  <c r="Y38" i="2" s="1"/>
  <c r="Y44" i="2" a="1"/>
  <c r="Y44" i="2" s="1"/>
  <c r="Z44" i="2" s="1"/>
  <c r="Y51" i="2" a="1"/>
  <c r="Y51" i="2" s="1"/>
  <c r="Z51" i="2" s="1"/>
  <c r="Y33" i="2" a="1"/>
  <c r="Y33" i="2" s="1"/>
  <c r="Y8" i="2" a="1"/>
  <c r="Y8" i="2" s="1"/>
  <c r="Y13" i="2" a="1"/>
  <c r="Y13" i="2" s="1"/>
  <c r="Y26" i="2" a="1"/>
  <c r="Y26" i="2" s="1"/>
  <c r="Y32" i="2" a="1"/>
  <c r="Y32" i="2" s="1"/>
  <c r="Z32" i="2" s="1"/>
  <c r="Y39" i="2" a="1"/>
  <c r="Y39" i="2" s="1"/>
  <c r="Y45" i="2" a="1"/>
  <c r="Y45" i="2" s="1"/>
  <c r="Z45" i="2" s="1"/>
  <c r="Y52" i="2" a="1"/>
  <c r="Y52" i="2" s="1"/>
  <c r="Z52" i="2" s="1"/>
  <c r="Y20" i="2" a="1"/>
  <c r="Y20" i="2" s="1"/>
  <c r="Y40" i="2" a="1"/>
  <c r="Y40" i="2" s="1"/>
  <c r="X17" i="2" a="1"/>
  <c r="X17" i="2" s="1"/>
  <c r="X22" i="2" a="1"/>
  <c r="X22" i="2" s="1"/>
  <c r="X33" i="2" a="1"/>
  <c r="X33" i="2" s="1"/>
  <c r="X38" i="2" a="1"/>
  <c r="X38" i="2" s="1"/>
  <c r="X49" i="2" a="1"/>
  <c r="X49" i="2" s="1"/>
  <c r="X55" i="2" a="1"/>
  <c r="X55" i="2" s="1"/>
  <c r="X53" i="2" a="1"/>
  <c r="X53" i="2" s="1"/>
  <c r="X54" i="2" a="1"/>
  <c r="X54" i="2" s="1"/>
  <c r="X12" i="2" a="1"/>
  <c r="X12" i="2" s="1"/>
  <c r="X23" i="2" a="1"/>
  <c r="X23" i="2" s="1"/>
  <c r="X28" i="2" a="1"/>
  <c r="X28" i="2" s="1"/>
  <c r="X39" i="2" a="1"/>
  <c r="X39" i="2" s="1"/>
  <c r="X44" i="2" a="1"/>
  <c r="X44" i="2" s="1"/>
  <c r="X56" i="2" a="1"/>
  <c r="X56" i="2" s="1"/>
  <c r="X42" i="2" a="1"/>
  <c r="X42" i="2" s="1"/>
  <c r="X11" i="2" a="1"/>
  <c r="X11" i="2" s="1"/>
  <c r="X13" i="2" a="1"/>
  <c r="X13" i="2" s="1"/>
  <c r="X18" i="2" a="1"/>
  <c r="X18" i="2" s="1"/>
  <c r="X29" i="2" a="1"/>
  <c r="X29" i="2" s="1"/>
  <c r="X34" i="2" a="1"/>
  <c r="X34" i="2" s="1"/>
  <c r="X45" i="2" a="1"/>
  <c r="X45" i="2" s="1"/>
  <c r="X50" i="2" a="1"/>
  <c r="X50" i="2" s="1"/>
  <c r="X7" i="2" a="1"/>
  <c r="X7" i="2" s="1"/>
  <c r="X10" i="2" a="1"/>
  <c r="X10" i="2" s="1"/>
  <c r="X43" i="2" a="1"/>
  <c r="X43" i="2" s="1"/>
  <c r="X8" i="2" a="1"/>
  <c r="X8" i="2" s="1"/>
  <c r="X19" i="2" a="1"/>
  <c r="X19" i="2" s="1"/>
  <c r="X24" i="2" a="1"/>
  <c r="X24" i="2" s="1"/>
  <c r="X35" i="2" a="1"/>
  <c r="X35" i="2" s="1"/>
  <c r="X40" i="2" a="1"/>
  <c r="X40" i="2" s="1"/>
  <c r="X51" i="2" a="1"/>
  <c r="X51" i="2" s="1"/>
  <c r="X21" i="2" a="1"/>
  <c r="X21" i="2" s="1"/>
  <c r="X16" i="2" a="1"/>
  <c r="X16" i="2" s="1"/>
  <c r="X48" i="2" a="1"/>
  <c r="X48" i="2" s="1"/>
  <c r="X9" i="2" a="1"/>
  <c r="X9" i="2" s="1"/>
  <c r="X14" i="2" a="1"/>
  <c r="X14" i="2" s="1"/>
  <c r="X25" i="2" a="1"/>
  <c r="X25" i="2" s="1"/>
  <c r="X30" i="2" a="1"/>
  <c r="X30" i="2" s="1"/>
  <c r="X41" i="2" a="1"/>
  <c r="X41" i="2" s="1"/>
  <c r="X46" i="2" a="1"/>
  <c r="X46" i="2" s="1"/>
  <c r="X26" i="2" a="1"/>
  <c r="X26" i="2" s="1"/>
  <c r="X27" i="2" a="1"/>
  <c r="X27" i="2" s="1"/>
  <c r="X15" i="2" a="1"/>
  <c r="X15" i="2" s="1"/>
  <c r="X20" i="2" a="1"/>
  <c r="X20" i="2" s="1"/>
  <c r="X31" i="2" a="1"/>
  <c r="X31" i="2" s="1"/>
  <c r="X36" i="2" a="1"/>
  <c r="X36" i="2" s="1"/>
  <c r="X47" i="2" a="1"/>
  <c r="X47" i="2" s="1"/>
  <c r="X52" i="2" a="1"/>
  <c r="X52" i="2" s="1"/>
  <c r="X37" i="2" a="1"/>
  <c r="X37" i="2" s="1"/>
  <c r="X32" i="2" a="1"/>
  <c r="X32" i="2" s="1"/>
  <c r="U8" i="2" a="1"/>
  <c r="U8" i="2" s="1"/>
  <c r="U19" i="2" a="1"/>
  <c r="U19" i="2" s="1"/>
  <c r="U24" i="2" a="1"/>
  <c r="U24" i="2" s="1"/>
  <c r="U35" i="2" a="1"/>
  <c r="U35" i="2" s="1"/>
  <c r="U40" i="2" a="1"/>
  <c r="U40" i="2" s="1"/>
  <c r="U51" i="2" a="1"/>
  <c r="U51" i="2" s="1"/>
  <c r="U31" i="2" a="1"/>
  <c r="U31" i="2" s="1"/>
  <c r="U47" i="2" a="1"/>
  <c r="U47" i="2" s="1"/>
  <c r="U33" i="2" a="1"/>
  <c r="U33" i="2" s="1"/>
  <c r="U9" i="2" a="1"/>
  <c r="U9" i="2" s="1"/>
  <c r="U14" i="2" a="1"/>
  <c r="U14" i="2" s="1"/>
  <c r="U25" i="2" a="1"/>
  <c r="U25" i="2" s="1"/>
  <c r="U30" i="2" a="1"/>
  <c r="U30" i="2" s="1"/>
  <c r="U41" i="2" a="1"/>
  <c r="U41" i="2" s="1"/>
  <c r="U46" i="2" a="1"/>
  <c r="U46" i="2" s="1"/>
  <c r="U15" i="2" a="1"/>
  <c r="U15" i="2" s="1"/>
  <c r="U20" i="2" a="1"/>
  <c r="U20" i="2" s="1"/>
  <c r="U36" i="2" a="1"/>
  <c r="U36" i="2" s="1"/>
  <c r="U52" i="2" a="1"/>
  <c r="U52" i="2" s="1"/>
  <c r="U22" i="2" a="1"/>
  <c r="U22" i="2" s="1"/>
  <c r="U49" i="2" a="1"/>
  <c r="U49" i="2" s="1"/>
  <c r="U10" i="2" a="1"/>
  <c r="U10" i="2" s="1"/>
  <c r="U21" i="2" a="1"/>
  <c r="U21" i="2" s="1"/>
  <c r="U26" i="2" a="1"/>
  <c r="U26" i="2" s="1"/>
  <c r="U37" i="2" a="1"/>
  <c r="U37" i="2" s="1"/>
  <c r="U42" i="2" a="1"/>
  <c r="U42" i="2" s="1"/>
  <c r="U53" i="2" a="1"/>
  <c r="U53" i="2" s="1"/>
  <c r="U11" i="2" a="1"/>
  <c r="U11" i="2" s="1"/>
  <c r="U16" i="2" a="1"/>
  <c r="U16" i="2" s="1"/>
  <c r="U27" i="2" a="1"/>
  <c r="U27" i="2" s="1"/>
  <c r="U32" i="2" a="1"/>
  <c r="U32" i="2" s="1"/>
  <c r="U43" i="2" a="1"/>
  <c r="U43" i="2" s="1"/>
  <c r="U48" i="2" a="1"/>
  <c r="U48" i="2" s="1"/>
  <c r="U54" i="2" a="1"/>
  <c r="U54" i="2" s="1"/>
  <c r="U17" i="2" a="1"/>
  <c r="U17" i="2" s="1"/>
  <c r="U38" i="2" a="1"/>
  <c r="U38" i="2" s="1"/>
  <c r="U55" i="2" a="1"/>
  <c r="U55" i="2" s="1"/>
  <c r="U12" i="2" a="1"/>
  <c r="U12" i="2" s="1"/>
  <c r="U23" i="2" a="1"/>
  <c r="U23" i="2" s="1"/>
  <c r="U28" i="2" a="1"/>
  <c r="U28" i="2" s="1"/>
  <c r="U39" i="2" a="1"/>
  <c r="U39" i="2" s="1"/>
  <c r="U44" i="2" a="1"/>
  <c r="U44" i="2" s="1"/>
  <c r="U56" i="2" a="1"/>
  <c r="U56" i="2" s="1"/>
  <c r="U13" i="2" a="1"/>
  <c r="U13" i="2" s="1"/>
  <c r="U18" i="2" a="1"/>
  <c r="U18" i="2" s="1"/>
  <c r="U29" i="2" a="1"/>
  <c r="U29" i="2" s="1"/>
  <c r="U34" i="2" a="1"/>
  <c r="U34" i="2" s="1"/>
  <c r="U45" i="2" a="1"/>
  <c r="U45" i="2" s="1"/>
  <c r="U50" i="2" a="1"/>
  <c r="U50" i="2" s="1"/>
  <c r="U7" i="2" a="1"/>
  <c r="U7" i="2" s="1"/>
  <c r="V12" i="2" a="1"/>
  <c r="V12" i="2" s="1"/>
  <c r="W12" i="2" s="1"/>
  <c r="V19" i="2" a="1"/>
  <c r="V19" i="2" s="1"/>
  <c r="W19" i="2" s="1"/>
  <c r="V25" i="2" a="1"/>
  <c r="V25" i="2" s="1"/>
  <c r="W25" i="2" s="1"/>
  <c r="V38" i="2" a="1"/>
  <c r="V38" i="2" s="1"/>
  <c r="W38" i="2" s="1"/>
  <c r="V44" i="2" a="1"/>
  <c r="V44" i="2" s="1"/>
  <c r="W44" i="2" s="1"/>
  <c r="V51" i="2" a="1"/>
  <c r="V51" i="2" s="1"/>
  <c r="W51" i="2" s="1"/>
  <c r="V27" i="2" a="1"/>
  <c r="V27" i="2" s="1"/>
  <c r="W27" i="2" s="1"/>
  <c r="V33" i="2" a="1"/>
  <c r="V33" i="2" s="1"/>
  <c r="W33" i="2" s="1"/>
  <c r="V52" i="2" a="1"/>
  <c r="V52" i="2" s="1"/>
  <c r="W52" i="2" s="1"/>
  <c r="V13" i="2" a="1"/>
  <c r="V13" i="2" s="1"/>
  <c r="W13" i="2" s="1"/>
  <c r="V26" i="2" a="1"/>
  <c r="V26" i="2" s="1"/>
  <c r="W26" i="2" s="1"/>
  <c r="V32" i="2" a="1"/>
  <c r="V32" i="2" s="1"/>
  <c r="W32" i="2" s="1"/>
  <c r="V39" i="2" a="1"/>
  <c r="V39" i="2" s="1"/>
  <c r="W39" i="2" s="1"/>
  <c r="V45" i="2" a="1"/>
  <c r="V45" i="2" s="1"/>
  <c r="W45" i="2" s="1"/>
  <c r="V20" i="2" a="1"/>
  <c r="V20" i="2" s="1"/>
  <c r="W20" i="2" s="1"/>
  <c r="V46" i="2" a="1"/>
  <c r="V46" i="2" s="1"/>
  <c r="W46" i="2" s="1"/>
  <c r="V14" i="2" a="1"/>
  <c r="V14" i="2" s="1"/>
  <c r="W14" i="2" s="1"/>
  <c r="V8" i="2" a="1"/>
  <c r="V8" i="2" s="1"/>
  <c r="V15" i="2" a="1"/>
  <c r="V15" i="2" s="1"/>
  <c r="W15" i="2" s="1"/>
  <c r="V21" i="2" a="1"/>
  <c r="V21" i="2" s="1"/>
  <c r="W21" i="2" s="1"/>
  <c r="V34" i="2" a="1"/>
  <c r="V34" i="2" s="1"/>
  <c r="W34" i="2" s="1"/>
  <c r="V40" i="2" a="1"/>
  <c r="V40" i="2" s="1"/>
  <c r="W40" i="2" s="1"/>
  <c r="V47" i="2" a="1"/>
  <c r="V47" i="2" s="1"/>
  <c r="W47" i="2" s="1"/>
  <c r="V53" i="2" a="1"/>
  <c r="V53" i="2" s="1"/>
  <c r="W53" i="2" s="1"/>
  <c r="V9" i="2" a="1"/>
  <c r="V9" i="2" s="1"/>
  <c r="V22" i="2" a="1"/>
  <c r="V22" i="2" s="1"/>
  <c r="W22" i="2" s="1"/>
  <c r="V28" i="2" a="1"/>
  <c r="V28" i="2" s="1"/>
  <c r="W28" i="2" s="1"/>
  <c r="V35" i="2" a="1"/>
  <c r="V35" i="2" s="1"/>
  <c r="W35" i="2" s="1"/>
  <c r="V41" i="2" a="1"/>
  <c r="V41" i="2" s="1"/>
  <c r="W41" i="2" s="1"/>
  <c r="V54" i="2" a="1"/>
  <c r="V54" i="2" s="1"/>
  <c r="W54" i="2" s="1"/>
  <c r="V16" i="2" a="1"/>
  <c r="V16" i="2" s="1"/>
  <c r="W16" i="2" s="1"/>
  <c r="V23" i="2" a="1"/>
  <c r="V23" i="2" s="1"/>
  <c r="W23" i="2" s="1"/>
  <c r="V29" i="2" a="1"/>
  <c r="V29" i="2" s="1"/>
  <c r="W29" i="2" s="1"/>
  <c r="V42" i="2" a="1"/>
  <c r="V42" i="2" s="1"/>
  <c r="W42" i="2" s="1"/>
  <c r="V48" i="2" a="1"/>
  <c r="V48" i="2" s="1"/>
  <c r="W48" i="2" s="1"/>
  <c r="V55" i="2" a="1"/>
  <c r="V55" i="2" s="1"/>
  <c r="W55" i="2" s="1"/>
  <c r="V10" i="2" a="1"/>
  <c r="V10" i="2" s="1"/>
  <c r="W10" i="2" s="1"/>
  <c r="V11" i="2" a="1"/>
  <c r="V11" i="2" s="1"/>
  <c r="W11" i="2" s="1"/>
  <c r="V17" i="2" a="1"/>
  <c r="V17" i="2" s="1"/>
  <c r="W17" i="2" s="1"/>
  <c r="V30" i="2" a="1"/>
  <c r="V30" i="2" s="1"/>
  <c r="W30" i="2" s="1"/>
  <c r="V36" i="2" a="1"/>
  <c r="V36" i="2" s="1"/>
  <c r="W36" i="2" s="1"/>
  <c r="V43" i="2" a="1"/>
  <c r="V43" i="2" s="1"/>
  <c r="W43" i="2" s="1"/>
  <c r="V49" i="2" a="1"/>
  <c r="V49" i="2" s="1"/>
  <c r="W49" i="2" s="1"/>
  <c r="V56" i="2" a="1"/>
  <c r="V56" i="2" s="1"/>
  <c r="W56" i="2" s="1"/>
  <c r="V18" i="2" a="1"/>
  <c r="V18" i="2" s="1"/>
  <c r="W18" i="2" s="1"/>
  <c r="V24" i="2" a="1"/>
  <c r="V24" i="2" s="1"/>
  <c r="W24" i="2" s="1"/>
  <c r="V31" i="2" a="1"/>
  <c r="V31" i="2" s="1"/>
  <c r="W31" i="2" s="1"/>
  <c r="V37" i="2" a="1"/>
  <c r="V37" i="2" s="1"/>
  <c r="W37" i="2" s="1"/>
  <c r="V50" i="2" a="1"/>
  <c r="V50" i="2" s="1"/>
  <c r="W50" i="2" s="1"/>
  <c r="V7" i="2" a="1"/>
  <c r="V7" i="2" s="1"/>
  <c r="Z15" i="2"/>
  <c r="Z27" i="2"/>
  <c r="Z13" i="2"/>
  <c r="Z55" i="2"/>
  <c r="Z21" i="2"/>
  <c r="Z39" i="2"/>
  <c r="Z48" i="2"/>
  <c r="Z20" i="2"/>
  <c r="Z14" i="2"/>
  <c r="Z33" i="2"/>
  <c r="Z35" i="2"/>
  <c r="Z22" i="2"/>
  <c r="Z43" i="2"/>
  <c r="Z34" i="2"/>
  <c r="Z26" i="2"/>
  <c r="Z31" i="2"/>
  <c r="Z11" i="2"/>
  <c r="Z19" i="2"/>
  <c r="Z38" i="2"/>
  <c r="Z40" i="2"/>
  <c r="Z16" i="2"/>
  <c r="Z10" i="2"/>
  <c r="AC37" i="2"/>
  <c r="AC53" i="2"/>
  <c r="AC51" i="2"/>
  <c r="AC43" i="2"/>
  <c r="AC19" i="2"/>
  <c r="AC40" i="2"/>
  <c r="AC52" i="2"/>
  <c r="AC32" i="2"/>
  <c r="AC33" i="2"/>
  <c r="AC44" i="2"/>
  <c r="AC50" i="2"/>
  <c r="AC30" i="2"/>
  <c r="AC14" i="2"/>
  <c r="AC34" i="2"/>
  <c r="AC31" i="2"/>
  <c r="AC20" i="2"/>
  <c r="AC15" i="2"/>
  <c r="AC48" i="2"/>
  <c r="AF10" i="2"/>
  <c r="AF42" i="2"/>
  <c r="AF19" i="2"/>
  <c r="AF31" i="2"/>
  <c r="AF35" i="2"/>
  <c r="AF47" i="2"/>
  <c r="AF44" i="2"/>
  <c r="AF32" i="2"/>
  <c r="AF21" i="2"/>
  <c r="AF51" i="2"/>
  <c r="AF16" i="2"/>
  <c r="AF39" i="2"/>
  <c r="AF49" i="2"/>
  <c r="AF36" i="2"/>
  <c r="AF41" i="2"/>
  <c r="AF53" i="2"/>
  <c r="AF46" i="2"/>
  <c r="AF14" i="2"/>
  <c r="AF38" i="2"/>
  <c r="AF33" i="2"/>
  <c r="AF11" i="2"/>
  <c r="AF20" i="2"/>
  <c r="AF29" i="2"/>
  <c r="AF34" i="2"/>
  <c r="AF43" i="2"/>
  <c r="AF48" i="2"/>
  <c r="AF37" i="2"/>
  <c r="AF30" i="2"/>
  <c r="AF17" i="2"/>
  <c r="AH4" i="2"/>
  <c r="AI55" i="2"/>
  <c r="AJ54" i="2"/>
  <c r="AC9" i="2"/>
  <c r="AF9" i="2"/>
  <c r="AC8" i="2"/>
  <c r="Z9" i="2"/>
  <c r="W9" i="2" l="1"/>
  <c r="Z7" i="2"/>
  <c r="AC7" i="2"/>
  <c r="Z8" i="2"/>
  <c r="AI56" i="2"/>
  <c r="AJ55" i="2"/>
  <c r="AF7" i="2"/>
  <c r="AF8" i="2"/>
  <c r="W8" i="2"/>
  <c r="W7" i="2"/>
  <c r="AI57" i="2" l="1"/>
  <c r="AJ56" i="2"/>
  <c r="AI58" i="2" l="1"/>
  <c r="AJ57" i="2"/>
  <c r="AI59" i="2" l="1"/>
  <c r="AJ58" i="2"/>
  <c r="AI60" i="2" l="1"/>
  <c r="AJ59" i="2"/>
  <c r="AI61" i="2" l="1"/>
  <c r="AJ60" i="2"/>
  <c r="AI62" i="2" l="1"/>
  <c r="AJ61" i="2"/>
  <c r="AI63" i="2" l="1"/>
  <c r="AJ62" i="2"/>
  <c r="AI64" i="2" l="1"/>
  <c r="AJ63" i="2"/>
  <c r="AI65" i="2" l="1"/>
  <c r="AJ64" i="2"/>
  <c r="AI66" i="2" l="1"/>
  <c r="AJ65" i="2"/>
  <c r="AI67" i="2" l="1"/>
  <c r="AJ66" i="2"/>
  <c r="AI68" i="2" l="1"/>
  <c r="AJ67" i="2"/>
  <c r="AI69" i="2" l="1"/>
  <c r="AJ68" i="2"/>
  <c r="AI70" i="2" l="1"/>
  <c r="AJ70" i="2" s="1"/>
  <c r="AJ6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029664-0F03-4061-BBA7-0F358EC2F01A}" keepAlive="1" name="Query - DatiExtra" description="Connessione alla query 'DatiExtra' nella cartella di lavoro." type="5" refreshedVersion="8" background="1" saveData="1">
    <dbPr connection="Provider=Microsoft.Mashup.OleDb.1;Data Source=$Workbook$;Location=DatiExtra;Extended Properties=&quot;&quot;" command="SELECT * FROM [DatiExtr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<sst xmlns="http://schemas.openxmlformats.org/spreadsheetml/2006/main" count="150" uniqueCount="51">
  <si>
    <t>Descrizione</t>
  </si>
  <si>
    <t>Valore del Periodo</t>
  </si>
  <si>
    <t>Data</t>
  </si>
  <si>
    <t>Budget</t>
  </si>
  <si>
    <t>Operatore 
(+ - x :)</t>
  </si>
  <si>
    <t>Formula</t>
  </si>
  <si>
    <t>Migliora Quando</t>
  </si>
  <si>
    <t>Dip</t>
  </si>
  <si>
    <t>Dipendenti</t>
  </si>
  <si>
    <t>Vol</t>
  </si>
  <si>
    <t>Qta Venduta</t>
  </si>
  <si>
    <t>NC</t>
  </si>
  <si>
    <t>Non Conformità</t>
  </si>
  <si>
    <t>NumPrev</t>
  </si>
  <si>
    <t>Numero di preventivi</t>
  </si>
  <si>
    <t>DipComm</t>
  </si>
  <si>
    <t>Dipendenti commerciali</t>
  </si>
  <si>
    <t>OreForm</t>
  </si>
  <si>
    <t>Ore di Formazione</t>
  </si>
  <si>
    <t>NumNuovi</t>
  </si>
  <si>
    <t>Numero nuovi cliente</t>
  </si>
  <si>
    <t>Numprev</t>
  </si>
  <si>
    <t>Aumenta</t>
  </si>
  <si>
    <t>Consuntivo</t>
  </si>
  <si>
    <t>% Ragg</t>
  </si>
  <si>
    <t>Fonte</t>
  </si>
  <si>
    <t>Nome Kpi</t>
  </si>
  <si>
    <t>Analisi Risultati</t>
  </si>
  <si>
    <t>ND</t>
  </si>
  <si>
    <t>NDPRG</t>
  </si>
  <si>
    <t>Ndata</t>
  </si>
  <si>
    <t>IdData</t>
  </si>
  <si>
    <t>Vol/Dip</t>
  </si>
  <si>
    <t>:</t>
  </si>
  <si>
    <t>Elenco Fattori</t>
  </si>
  <si>
    <t>Dati Budget e Consuntivo</t>
  </si>
  <si>
    <t>Cod Fattore</t>
  </si>
  <si>
    <t>Indicatore 
(o primo fattore)</t>
  </si>
  <si>
    <t>Secondo Fattore 
(opzionale)</t>
  </si>
  <si>
    <t>Diminuisce</t>
  </si>
  <si>
    <t/>
  </si>
  <si>
    <t>Media dei periodi</t>
  </si>
  <si>
    <t>∆</t>
  </si>
  <si>
    <t>∆%</t>
  </si>
  <si>
    <t>Indicatore</t>
  </si>
  <si>
    <t>Val</t>
  </si>
  <si>
    <t>Analisi scostamenti</t>
  </si>
  <si>
    <t>Per KPI e data</t>
  </si>
  <si>
    <t>Per singolo KPI</t>
  </si>
  <si>
    <t>Per aggiornare i dati CTRL+ALT+F5</t>
  </si>
  <si>
    <r>
      <rPr>
        <b/>
        <i/>
        <sz val="11"/>
        <color theme="0"/>
        <rFont val="Tw Cen MT"/>
        <family val="2"/>
      </rPr>
      <t>Istruzioni</t>
    </r>
    <r>
      <rPr>
        <i/>
        <sz val="11"/>
        <color theme="0"/>
        <rFont val="Tw Cen MT"/>
        <family val="2"/>
      </rPr>
      <t>: Per la compilazione è sufficiente compilare le tabelle, avendo cura di riempire solo i campi con intestazione a sfondo azzurro. A scopo illustrativo, sono stati volutamente lasciati alcuni esempi.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</si>
</sst>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[$-410]mmm\-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Tw Cen MT"/>
      <family val="2"/>
    </font>
    <font>
      <b/>
      <sz val="11"/>
      <color theme="1"/>
      <name val="Tw Cen MT"/>
      <family val="2"/>
    </font>
    <font>
      <b/>
      <sz val="11"/>
      <color theme="0"/>
      <name val="Tw Cen MT"/>
      <family val="2"/>
    </font>
    <font>
      <sz val="11"/>
      <color theme="1"/>
      <name val="Tw Cen MT"/>
      <family val="2"/>
    </font>
    <font>
      <sz val="11"/>
      <name val="Tw Cen MT"/>
      <family val="2"/>
    </font>
    <font>
      <sz val="11"/>
      <color rgb="FFFF0000"/>
      <name val="Tw Cen MT"/>
      <family val="2"/>
    </font>
    <font>
      <sz val="11"/>
      <color theme="0"/>
      <name val="Tw Cen MT"/>
      <family val="2"/>
    </font>
    <font>
      <i/>
      <sz val="11"/>
      <color theme="1"/>
      <name val="Tw Cen MT"/>
      <family val="2"/>
    </font>
    <font>
      <b/>
      <i/>
      <sz val="11"/>
      <color theme="1"/>
      <name val="Tw Cen MT"/>
      <family val="2"/>
    </font>
    <font>
      <i/>
      <sz val="11"/>
      <color theme="0"/>
      <name val="Tw Cen MT"/>
      <family val="2"/>
    </font>
    <font>
      <b/>
      <i/>
      <sz val="11"/>
      <color theme="0"/>
      <name val="Tw Cen M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919E"/>
        <bgColor indexed="64"/>
      </patternFill>
    </fill>
    <fill>
      <patternFill patternType="solid">
        <fgColor rgb="FFC5D9F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 applyAlignment="1" applyProtection="1">
      <alignment horizontal="left" vertical="center" wrapText="1"/>
      <protection hidden="1"/>
    </xf>
    <xf numFmtId="0" fontId="5" fillId="3" borderId="0" xfId="0" applyFont="1" applyFill="1"/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14" fontId="5" fillId="0" borderId="0" xfId="0" applyNumberFormat="1" applyFont="1"/>
    <xf numFmtId="0" fontId="5" fillId="0" borderId="4" xfId="0" applyFont="1" applyBorder="1" applyProtection="1">
      <protection locked="0"/>
    </xf>
    <xf numFmtId="0" fontId="5" fillId="0" borderId="0" xfId="0" applyFont="1" applyProtection="1">
      <protection locked="0"/>
    </xf>
    <xf numFmtId="14" fontId="5" fillId="3" borderId="0" xfId="0" applyNumberFormat="1" applyFont="1" applyFill="1"/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5" fillId="0" borderId="0" xfId="0" applyFont="1" applyProtection="1">
      <protection hidden="1"/>
    </xf>
    <xf numFmtId="164" fontId="5" fillId="0" borderId="0" xfId="3" applyFont="1" applyFill="1" applyProtection="1">
      <protection locked="0"/>
    </xf>
    <xf numFmtId="14" fontId="5" fillId="0" borderId="0" xfId="0" applyNumberFormat="1" applyFont="1" applyProtection="1">
      <protection locked="0"/>
    </xf>
    <xf numFmtId="0" fontId="2" fillId="0" borderId="0" xfId="0" applyFont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top" wrapText="1"/>
    </xf>
    <xf numFmtId="165" fontId="2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center"/>
    </xf>
    <xf numFmtId="43" fontId="5" fillId="0" borderId="5" xfId="1" applyFont="1" applyBorder="1" applyAlignment="1" applyProtection="1">
      <protection locked="0"/>
    </xf>
    <xf numFmtId="0" fontId="5" fillId="0" borderId="5" xfId="0" applyFont="1" applyBorder="1" applyProtection="1">
      <protection locked="0"/>
    </xf>
    <xf numFmtId="0" fontId="5" fillId="0" borderId="5" xfId="0" applyFont="1" applyBorder="1" applyAlignment="1" applyProtection="1">
      <alignment horizontal="center"/>
      <protection locked="0"/>
    </xf>
    <xf numFmtId="0" fontId="5" fillId="0" borderId="5" xfId="0" applyFont="1" applyBorder="1" applyProtection="1">
      <protection hidden="1"/>
    </xf>
    <xf numFmtId="4" fontId="6" fillId="0" borderId="5" xfId="1" applyNumberFormat="1" applyFont="1" applyBorder="1" applyProtection="1">
      <protection hidden="1"/>
    </xf>
    <xf numFmtId="4" fontId="5" fillId="0" borderId="5" xfId="1" applyNumberFormat="1" applyFont="1" applyBorder="1" applyProtection="1">
      <protection hidden="1"/>
    </xf>
    <xf numFmtId="10" fontId="5" fillId="0" borderId="5" xfId="2" applyNumberFormat="1" applyFont="1" applyFill="1" applyBorder="1" applyProtection="1">
      <protection hidden="1"/>
    </xf>
    <xf numFmtId="4" fontId="7" fillId="0" borderId="5" xfId="1" applyNumberFormat="1" applyFont="1" applyBorder="1" applyProtection="1">
      <protection hidden="1"/>
    </xf>
    <xf numFmtId="43" fontId="5" fillId="0" borderId="0" xfId="1" applyFont="1" applyFill="1" applyProtection="1">
      <protection locked="0"/>
    </xf>
    <xf numFmtId="43" fontId="5" fillId="0" borderId="4" xfId="1" applyFont="1" applyBorder="1" applyProtection="1"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5" fillId="0" borderId="4" xfId="0" applyFont="1" applyBorder="1" applyProtection="1">
      <protection hidden="1"/>
    </xf>
    <xf numFmtId="14" fontId="8" fillId="3" borderId="0" xfId="0" applyNumberFormat="1" applyFont="1" applyFill="1"/>
    <xf numFmtId="0" fontId="6" fillId="4" borderId="0" xfId="0" applyFont="1" applyFill="1" applyAlignment="1" applyProtection="1">
      <alignment horizontal="center" vertical="center" wrapText="1"/>
      <protection hidden="1"/>
    </xf>
    <xf numFmtId="0" fontId="2" fillId="4" borderId="1" xfId="0" applyFont="1" applyFill="1" applyBorder="1" applyAlignment="1">
      <alignment horizontal="left" vertical="top" wrapText="1"/>
    </xf>
    <xf numFmtId="0" fontId="5" fillId="5" borderId="0" xfId="0" applyFont="1" applyFill="1"/>
    <xf numFmtId="0" fontId="10" fillId="0" borderId="0" xfId="0" applyFont="1"/>
    <xf numFmtId="0" fontId="5" fillId="0" borderId="0" xfId="0" pivotButton="1" applyFont="1"/>
    <xf numFmtId="0" fontId="5" fillId="0" borderId="0" xfId="0" pivotButton="1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" fontId="5" fillId="2" borderId="0" xfId="0" applyNumberFormat="1" applyFont="1" applyFill="1" applyAlignment="1">
      <alignment horizontal="center" vertical="center" wrapText="1"/>
    </xf>
    <xf numFmtId="14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10" fontId="9" fillId="0" borderId="0" xfId="0" applyNumberFormat="1" applyFont="1"/>
    <xf numFmtId="4" fontId="5" fillId="0" borderId="0" xfId="0" applyNumberFormat="1" applyFont="1"/>
    <xf numFmtId="4" fontId="5" fillId="2" borderId="0" xfId="0" applyNumberFormat="1" applyFont="1" applyFill="1" applyAlignment="1">
      <alignment horizontal="right"/>
    </xf>
    <xf numFmtId="4" fontId="9" fillId="0" borderId="0" xfId="0" applyNumberFormat="1" applyFont="1"/>
    <xf numFmtId="14" fontId="5" fillId="0" borderId="0" xfId="0" applyNumberFormat="1" applyFont="1" applyAlignment="1">
      <alignment horizontal="left" inden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 applyProtection="1">
      <alignment vertical="top"/>
      <protection locked="0"/>
    </xf>
    <xf numFmtId="0" fontId="12" fillId="3" borderId="0" xfId="0" applyFont="1" applyFill="1" applyAlignment="1">
      <alignment vertical="top"/>
    </xf>
    <xf numFmtId="14" fontId="3" fillId="4" borderId="2" xfId="0" applyNumberFormat="1" applyFont="1" applyFill="1" applyBorder="1" applyAlignment="1" applyProtection="1">
      <alignment horizontal="center"/>
      <protection locked="0"/>
    </xf>
    <xf numFmtId="14" fontId="3" fillId="4" borderId="6" xfId="0" applyNumberFormat="1" applyFont="1" applyFill="1" applyBorder="1" applyAlignment="1" applyProtection="1">
      <alignment horizontal="center"/>
      <protection locked="0"/>
    </xf>
    <xf numFmtId="14" fontId="3" fillId="4" borderId="3" xfId="0" applyNumberFormat="1" applyFont="1" applyFill="1" applyBorder="1" applyAlignment="1" applyProtection="1">
      <alignment horizontal="center"/>
      <protection locked="0"/>
    </xf>
    <xf numFmtId="0" fontId="11" fillId="3" borderId="0" xfId="0" applyFont="1" applyFill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4">
    <cellStyle name="Migliaia" xfId="1" builtinId="3"/>
    <cellStyle name="Migliaia 2" xfId="3" xr:uid="{93289DA0-1311-4859-980A-68DB57A3EBD1}"/>
    <cellStyle name="Normale" xfId="0" builtinId="0"/>
    <cellStyle name="Percentuale" xfId="2" builtinId="5"/>
  </cellStyles>
  <dxfs count="120"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0"/>
      </font>
      <fill>
        <patternFill>
          <bgColor rgb="FF1F497D"/>
        </patternFill>
      </fill>
    </dxf>
    <dxf>
      <fill>
        <patternFill>
          <bgColor theme="0"/>
        </patternFill>
      </fill>
    </dxf>
    <dxf>
      <font>
        <color theme="1" tint="0.34998626667073579"/>
      </font>
      <fill>
        <patternFill>
          <bgColor rgb="FFD9D9D9"/>
        </patternFill>
      </fill>
    </dxf>
    <dxf>
      <font>
        <color theme="0"/>
      </font>
      <fill>
        <patternFill>
          <bgColor rgb="FF94141F"/>
        </patternFill>
      </fill>
    </dxf>
    <dxf>
      <font>
        <color rgb="FF002060"/>
      </font>
      <fill>
        <patternFill patternType="solid">
          <fgColor auto="1"/>
          <bgColor rgb="FFFFC000"/>
        </patternFill>
      </fill>
    </dxf>
    <dxf>
      <font>
        <color auto="1"/>
      </font>
      <fill>
        <patternFill patternType="solid">
          <fgColor auto="1"/>
          <bgColor rgb="FF00B050"/>
        </patternFill>
      </fill>
    </dxf>
    <dxf>
      <font>
        <color theme="0"/>
      </font>
      <fill>
        <patternFill>
          <bgColor rgb="FF1F497D"/>
        </patternFill>
      </fill>
    </dxf>
    <dxf>
      <fill>
        <patternFill>
          <bgColor theme="0"/>
        </patternFill>
      </fill>
    </dxf>
    <dxf>
      <font>
        <color theme="1" tint="0.34998626667073579"/>
      </font>
      <fill>
        <patternFill>
          <bgColor rgb="FFD9D9D9"/>
        </patternFill>
      </fill>
    </dxf>
    <dxf>
      <font>
        <color theme="0"/>
      </font>
      <fill>
        <patternFill>
          <bgColor rgb="FF94141F"/>
        </patternFill>
      </fill>
    </dxf>
    <dxf>
      <font>
        <color rgb="FF002060"/>
      </font>
      <fill>
        <patternFill patternType="solid">
          <fgColor auto="1"/>
          <bgColor rgb="FFFFC000"/>
        </patternFill>
      </fill>
    </dxf>
    <dxf>
      <font>
        <color auto="1"/>
      </font>
      <fill>
        <patternFill patternType="solid">
          <fgColor auto="1"/>
          <bgColor rgb="FF00B050"/>
        </patternFill>
      </fill>
    </dxf>
    <dxf>
      <font>
        <color theme="0"/>
      </font>
      <fill>
        <patternFill>
          <bgColor rgb="FF1F497D"/>
        </patternFill>
      </fill>
    </dxf>
    <dxf>
      <fill>
        <patternFill>
          <bgColor theme="0"/>
        </patternFill>
      </fill>
    </dxf>
    <dxf>
      <font>
        <color theme="1" tint="0.34998626667073579"/>
      </font>
      <fill>
        <patternFill>
          <bgColor rgb="FFD9D9D9"/>
        </patternFill>
      </fill>
    </dxf>
    <dxf>
      <font>
        <color theme="0"/>
      </font>
      <fill>
        <patternFill>
          <bgColor rgb="FF94141F"/>
        </patternFill>
      </fill>
    </dxf>
    <dxf>
      <font>
        <color rgb="FF002060"/>
      </font>
      <fill>
        <patternFill patternType="solid">
          <fgColor auto="1"/>
          <bgColor rgb="FFFFC000"/>
        </patternFill>
      </fill>
    </dxf>
    <dxf>
      <font>
        <color auto="1"/>
      </font>
      <fill>
        <patternFill patternType="solid">
          <fgColor auto="1"/>
          <bgColor rgb="FF00B050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ill>
        <patternFill patternType="solid">
          <bgColor theme="0" tint="-0.14999847407452621"/>
        </patternFill>
      </fill>
    </dxf>
    <dxf>
      <font>
        <i/>
      </font>
    </dxf>
    <dxf>
      <font>
        <sz val="9"/>
      </font>
    </dxf>
    <dxf>
      <font>
        <name val="Verdana"/>
        <scheme val="none"/>
      </font>
    </dxf>
    <dxf>
      <numFmt numFmtId="14" formatCode="0.00%"/>
    </dxf>
    <dxf>
      <alignment horizontal="right"/>
    </dxf>
    <dxf>
      <alignment horizontal="right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name val="Tw Cen MT"/>
        <family val="2"/>
        <scheme val="none"/>
      </font>
    </dxf>
    <dxf>
      <font>
        <i/>
      </font>
    </dxf>
    <dxf>
      <numFmt numFmtId="14" formatCode="0.00%"/>
    </dxf>
    <dxf>
      <alignment horizontal="right"/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Tw Cen M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w Cen MT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w Cen M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919E"/>
      <color rgb="FF00223F"/>
      <color rgb="FFC5D9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10" Type="http://schemas.openxmlformats.org/officeDocument/2006/relationships/calcChain" Target="calcChain.xml"/><Relationship Id="rId4" Type="http://schemas.microsoft.com/office/2007/relationships/slicerCache" Target="slicerCaches/slicerCache1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[Copia di KPI.xlsx]GraficiPerKPI!Tabella pivot2</c:name>
    <c:fmtId val="3"/>
  </c:pivotSource>
  <c:chart>
    <c:title>
      <c:tx>
        <c:strRef>
          <c:f>GraficiPerKPI!$C$26</c:f>
          <c:strCache>
            <c:ptCount val="1"/>
            <c:pt idx="0">
              <c:v>Dipendenti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ln w="31750" cap="rnd">
            <a:solidFill>
              <a:schemeClr val="bg1">
                <a:lumMod val="65000"/>
              </a:schemeClr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rgbClr val="C00000"/>
            </a:solidFill>
            <a:round/>
          </a:ln>
          <a:effectLst/>
        </c:spPr>
        <c:marker>
          <c:symbol val="circle"/>
          <c:size val="5"/>
          <c:spPr>
            <a:solidFill>
              <a:schemeClr val="bg1">
                <a:lumMod val="85000"/>
              </a:schemeClr>
            </a:solidFill>
            <a:ln w="12700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GraficiPerKPI!$C$26</c:f>
              <c:strCache>
                <c:ptCount val="1"/>
                <c:pt idx="0">
                  <c:v>Budget</c:v>
                </c:pt>
              </c:strCache>
            </c:strRef>
          </c:tx>
          <c:spPr>
            <a:ln w="3175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GraficiPerKPI!$C$26</c:f>
              <c:strCache>
                <c:ptCount val="4"/>
                <c:pt idx="0">
                  <c:v>31/03/2023</c:v>
                </c:pt>
                <c:pt idx="1">
                  <c:v>30/06/2023</c:v>
                </c:pt>
                <c:pt idx="2">
                  <c:v>30/09/2023</c:v>
                </c:pt>
                <c:pt idx="3">
                  <c:v>31/12/2023</c:v>
                </c:pt>
              </c:strCache>
            </c:strRef>
          </c:cat>
          <c:val>
            <c:numRef>
              <c:f>GraficiPerKPI!$C$26</c:f>
              <c:numCache>
                <c:formatCode>General</c:formatCode>
                <c:ptCount val="4"/>
                <c:pt idx="0">
                  <c:v>100</c:v>
                </c:pt>
                <c:pt idx="1">
                  <c:v>120</c:v>
                </c:pt>
                <c:pt idx="2">
                  <c:v>130</c:v>
                </c:pt>
                <c:pt idx="3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B5D-42BC-84F2-F2ACD6914BA7}"/>
            </c:ext>
          </c:extLst>
        </c:ser>
        <c:ser>
          <c:idx val="1"/>
          <c:order val="1"/>
          <c:tx>
            <c:strRef>
              <c:f>GraficiPerKPI!$C$26</c:f>
              <c:strCache>
                <c:ptCount val="1"/>
                <c:pt idx="0">
                  <c:v>Consuntivo</c:v>
                </c:pt>
              </c:strCache>
            </c:strRef>
          </c:tx>
          <c:spPr>
            <a:ln w="317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85000"/>
                </a:schemeClr>
              </a:solidFill>
              <a:ln w="12700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GraficiPerKPI!$C$26</c:f>
              <c:strCache>
                <c:ptCount val="4"/>
                <c:pt idx="0">
                  <c:v>31/03/2023</c:v>
                </c:pt>
                <c:pt idx="1">
                  <c:v>30/06/2023</c:v>
                </c:pt>
                <c:pt idx="2">
                  <c:v>30/09/2023</c:v>
                </c:pt>
                <c:pt idx="3">
                  <c:v>31/12/2023</c:v>
                </c:pt>
              </c:strCache>
            </c:strRef>
          </c:cat>
          <c:val>
            <c:numRef>
              <c:f>GraficiPerKPI!$C$26</c:f>
              <c:numCache>
                <c:formatCode>General</c:formatCode>
                <c:ptCount val="4"/>
                <c:pt idx="0">
                  <c:v>104</c:v>
                </c:pt>
                <c:pt idx="1">
                  <c:v>97.9</c:v>
                </c:pt>
                <c:pt idx="2">
                  <c:v>117.3</c:v>
                </c:pt>
                <c:pt idx="3">
                  <c:v>94.3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B5D-42BC-84F2-F2ACD6914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2639568"/>
        <c:axId val="1692644368"/>
      </c:lineChart>
      <c:catAx>
        <c:axId val="169263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it-IT"/>
          </a:p>
        </c:txPr>
        <c:crossAx val="1692644368"/>
        <c:crosses val="autoZero"/>
        <c:auto val="1"/>
        <c:lblAlgn val="ctr"/>
        <c:lblOffset val="100"/>
        <c:noMultiLvlLbl val="0"/>
      </c:catAx>
      <c:valAx>
        <c:axId val="169264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it-IT"/>
          </a:p>
        </c:txPr>
        <c:crossAx val="169263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rnd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[Copia di KPI.xlsx]GraficiPerKPI!Tabella pivot6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r>
              <a:rPr lang="it-IT" sz="1600" b="1"/>
              <a:t>Scostamenti</a:t>
            </a:r>
            <a:r>
              <a:rPr lang="it-IT" sz="1600" b="1" baseline="0"/>
              <a:t> dal Budget per KPI</a:t>
            </a:r>
            <a:endParaRPr lang="it-IT" sz="1600" b="1"/>
          </a:p>
        </c:rich>
      </c:tx>
      <c:layout>
        <c:manualLayout>
          <c:xMode val="edge"/>
          <c:yMode val="edge"/>
          <c:x val="0.34067894193394932"/>
          <c:y val="1.37589303606630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75000"/>
            </a:schemeClr>
          </a:solidFill>
          <a:ln>
            <a:solidFill>
              <a:srgbClr val="C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>
              <a:lumMod val="75000"/>
            </a:schemeClr>
          </a:solidFill>
          <a:ln>
            <a:solidFill>
              <a:srgbClr val="C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>
            <a:solidFill>
              <a:srgbClr val="C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GraficiPerKPI!$AB$28:$AB$29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GraficiPerKPI!$AA$30:$AA$45</c:f>
              <c:multiLvlStrCache>
                <c:ptCount val="12"/>
                <c:lvl>
                  <c:pt idx="0">
                    <c:v>31/03/2023</c:v>
                  </c:pt>
                  <c:pt idx="1">
                    <c:v>30/06/2023</c:v>
                  </c:pt>
                  <c:pt idx="2">
                    <c:v>30/09/2023</c:v>
                  </c:pt>
                  <c:pt idx="3">
                    <c:v>31/12/2023</c:v>
                  </c:pt>
                  <c:pt idx="4">
                    <c:v>31/03/2023</c:v>
                  </c:pt>
                  <c:pt idx="5">
                    <c:v>30/06/2023</c:v>
                  </c:pt>
                  <c:pt idx="6">
                    <c:v>30/09/2023</c:v>
                  </c:pt>
                  <c:pt idx="7">
                    <c:v>31/12/2023</c:v>
                  </c:pt>
                  <c:pt idx="8">
                    <c:v>31/03/2023</c:v>
                  </c:pt>
                  <c:pt idx="9">
                    <c:v>30/06/2023</c:v>
                  </c:pt>
                  <c:pt idx="10">
                    <c:v>30/09/2023</c:v>
                  </c:pt>
                  <c:pt idx="11">
                    <c:v>31/12/2023</c:v>
                  </c:pt>
                </c:lvl>
                <c:lvl>
                  <c:pt idx="0">
                    <c:v>Dipendenti</c:v>
                  </c:pt>
                  <c:pt idx="4">
                    <c:v>Vol</c:v>
                  </c:pt>
                  <c:pt idx="8">
                    <c:v>Vol/Dip</c:v>
                  </c:pt>
                </c:lvl>
              </c:multiLvlStrCache>
            </c:multiLvlStrRef>
          </c:cat>
          <c:val>
            <c:numRef>
              <c:f>GraficiPerKPI!$AB$30:$AB$45</c:f>
              <c:numCache>
                <c:formatCode>0.00%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5-A145-4B19-8080-F95A967861AD}"/>
            </c:ext>
          </c:extLst>
        </c:ser>
        <c:ser>
          <c:idx val="1"/>
          <c:order val="1"/>
          <c:tx>
            <c:strRef>
              <c:f>GraficiPerKPI!$AC$28:$AC$29</c:f>
              <c:strCache>
                <c:ptCount val="1"/>
                <c:pt idx="0">
                  <c:v>Consuntivo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rgbClr val="C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GraficiPerKPI!$AA$30:$AA$45</c:f>
              <c:multiLvlStrCache>
                <c:ptCount val="12"/>
                <c:lvl>
                  <c:pt idx="0">
                    <c:v>31/03/2023</c:v>
                  </c:pt>
                  <c:pt idx="1">
                    <c:v>30/06/2023</c:v>
                  </c:pt>
                  <c:pt idx="2">
                    <c:v>30/09/2023</c:v>
                  </c:pt>
                  <c:pt idx="3">
                    <c:v>31/12/2023</c:v>
                  </c:pt>
                  <c:pt idx="4">
                    <c:v>31/03/2023</c:v>
                  </c:pt>
                  <c:pt idx="5">
                    <c:v>30/06/2023</c:v>
                  </c:pt>
                  <c:pt idx="6">
                    <c:v>30/09/2023</c:v>
                  </c:pt>
                  <c:pt idx="7">
                    <c:v>31/12/2023</c:v>
                  </c:pt>
                  <c:pt idx="8">
                    <c:v>31/03/2023</c:v>
                  </c:pt>
                  <c:pt idx="9">
                    <c:v>30/06/2023</c:v>
                  </c:pt>
                  <c:pt idx="10">
                    <c:v>30/09/2023</c:v>
                  </c:pt>
                  <c:pt idx="11">
                    <c:v>31/12/2023</c:v>
                  </c:pt>
                </c:lvl>
                <c:lvl>
                  <c:pt idx="0">
                    <c:v>Dipendenti</c:v>
                  </c:pt>
                  <c:pt idx="4">
                    <c:v>Vol</c:v>
                  </c:pt>
                  <c:pt idx="8">
                    <c:v>Vol/Dip</c:v>
                  </c:pt>
                </c:lvl>
              </c:multiLvlStrCache>
            </c:multiLvlStrRef>
          </c:cat>
          <c:val>
            <c:numRef>
              <c:f>GraficiPerKPI!$AC$30:$AC$45</c:f>
              <c:numCache>
                <c:formatCode>0.00%</c:formatCode>
                <c:ptCount val="12"/>
                <c:pt idx="0">
                  <c:v>0.04</c:v>
                </c:pt>
                <c:pt idx="1">
                  <c:v>-0.18416666666666662</c:v>
                </c:pt>
                <c:pt idx="2">
                  <c:v>-9.7692307692307717E-2</c:v>
                </c:pt>
                <c:pt idx="3">
                  <c:v>-0.32642857142857146</c:v>
                </c:pt>
                <c:pt idx="4">
                  <c:v>-0.12</c:v>
                </c:pt>
                <c:pt idx="5">
                  <c:v>-0.02</c:v>
                </c:pt>
                <c:pt idx="6">
                  <c:v>0.04</c:v>
                </c:pt>
                <c:pt idx="7">
                  <c:v>0.04</c:v>
                </c:pt>
                <c:pt idx="8">
                  <c:v>-0.1538461538461538</c:v>
                </c:pt>
                <c:pt idx="9">
                  <c:v>0.20122574055158315</c:v>
                </c:pt>
                <c:pt idx="10">
                  <c:v>0.15260017050298386</c:v>
                </c:pt>
                <c:pt idx="11">
                  <c:v>0.54400848356309661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45-4B19-8080-F95A967861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12756255"/>
        <c:axId val="412765375"/>
      </c:barChart>
      <c:catAx>
        <c:axId val="41275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it-IT"/>
          </a:p>
        </c:txPr>
        <c:crossAx val="412765375"/>
        <c:crosses val="autoZero"/>
        <c:auto val="1"/>
        <c:lblAlgn val="ctr"/>
        <c:lblOffset val="100"/>
        <c:noMultiLvlLbl val="0"/>
      </c:catAx>
      <c:valAx>
        <c:axId val="41276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it-IT"/>
          </a:p>
        </c:txPr>
        <c:crossAx val="412756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900">
          <a:latin typeface="Verdana" panose="020B0604030504040204" pitchFamily="34" charset="0"/>
          <a:ea typeface="Verdana" panose="020B060403050404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_rels/data1.xml.rels><?xml version="1.0" encoding="UTF-8" standalone="yes"?>
<Relationships xmlns="http://schemas.openxmlformats.org/package/2006/relationships"><Relationship Id="rId1" Type="http://schemas.openxmlformats.org/officeDocument/2006/relationships/hyperlink" Target="#GraficiPerKPI!A1"/></Relationships>
</file>

<file path=xl/diagrams/_rels/data2.xml.rels><?xml version="1.0" encoding="UTF-8" standalone="yes"?>
<Relationships xmlns="http://schemas.openxmlformats.org/package/2006/relationships"><Relationship Id="rId1" Type="http://schemas.openxmlformats.org/officeDocument/2006/relationships/hyperlink" Target="#GraficiPerKPI!A1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019B2078-8D7E-4BAD-9AFD-00E71E846E2C}" type="doc">
      <dgm:prSet loTypeId="urn:microsoft.com/office/officeart/2005/8/layout/arrow1" loCatId="process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it-IT"/>
        </a:p>
      </dgm:t>
    </dgm:pt>
    <dgm:pt modelId="{9B7D0819-F366-45E3-BF77-9D74AAF13DE5}">
      <dgm:prSet phldrT="[Testo]" custT="1"/>
      <dgm:spPr>
        <a:solidFill>
          <a:schemeClr val="bg1"/>
        </a:solidFill>
        <a:ln>
          <a:solidFill>
            <a:srgbClr val="00223F"/>
          </a:solidFill>
        </a:ln>
      </dgm:spPr>
      <dgm:t>
        <a:bodyPr/>
        <a:lstStyle/>
        <a:p>
          <a:r>
            <a:rPr lang="it-IT" sz="900">
              <a:solidFill>
                <a:srgbClr val="00223F"/>
              </a:solidFill>
              <a:latin typeface="Tw Cen MT" panose="020B0602020104020603" pitchFamily="34" charset="0"/>
            </a:rPr>
            <a:t>Inserimento Dati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7BF0DD16-999E-4C81-BEF5-B2CBF7A3F06F}" type="parTrans" cxnId="{529F79DC-F956-4662-8756-F5738FCC14EB}">
      <dgm:prSet/>
      <dgm:spPr/>
      <dgm:t>
        <a:bodyPr/>
        <a:lstStyle/>
        <a:p>
          <a:endParaRPr lang="it-IT"/>
        </a:p>
      </dgm:t>
    </dgm:pt>
    <dgm:pt modelId="{3E464727-FBF8-4CD6-9DFD-72BF2D276D95}" type="sibTrans" cxnId="{529F79DC-F956-4662-8756-F5738FCC14EB}">
      <dgm:prSet/>
      <dgm:spPr/>
      <dgm:t>
        <a:bodyPr/>
        <a:lstStyle/>
        <a:p>
          <a:endParaRPr lang="it-IT"/>
        </a:p>
      </dgm:t>
    </dgm:pt>
    <dgm:pt modelId="{659A4319-2118-4BBD-A5E0-F3C4F3ADCD9B}">
      <dgm:prSet phldrT="[Testo]" custT="1"/>
      <dgm:spPr>
        <a:solidFill>
          <a:schemeClr val="bg1"/>
        </a:solidFill>
        <a:ln>
          <a:solidFill>
            <a:srgbClr val="00223F"/>
          </a:solidFill>
        </a:ln>
      </dgm:spPr>
      <dgm:t>
        <a:bodyPr/>
        <a:lstStyle/>
        <a:p>
          <a:r>
            <a:rPr lang="it-IT" sz="900">
              <a:solidFill>
                <a:schemeClr val="tx1"/>
              </a:solidFill>
              <a:latin typeface="Tw Cen MT" panose="020B0602020104020603" pitchFamily="34" charset="0"/>
            </a:rPr>
            <a:t>Grafici di analisi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56CB000F-DFA8-4C76-8E77-C84D81C92B66}" type="parTrans" cxnId="{F9A3AC4E-3390-41B4-9B78-78CEDC1FC9F0}">
      <dgm:prSet/>
      <dgm:spPr/>
      <dgm:t>
        <a:bodyPr/>
        <a:lstStyle/>
        <a:p>
          <a:endParaRPr lang="it-IT"/>
        </a:p>
      </dgm:t>
    </dgm:pt>
    <dgm:pt modelId="{2E9790E1-4E59-4A4F-8308-4B915148214A}" type="sibTrans" cxnId="{F9A3AC4E-3390-41B4-9B78-78CEDC1FC9F0}">
      <dgm:prSet/>
      <dgm:spPr/>
      <dgm:t>
        <a:bodyPr/>
        <a:lstStyle/>
        <a:p>
          <a:endParaRPr lang="it-IT"/>
        </a:p>
      </dgm:t>
    </dgm:pt>
    <dgm:pt modelId="{0D10C61C-140B-4653-A8D6-953974ED92EB}" type="pres">
      <dgm:prSet presAssocID="{019B2078-8D7E-4BAD-9AFD-00E71E846E2C}" presName="cycle" presStyleCnt="0">
        <dgm:presLayoutVars>
          <dgm:dir/>
          <dgm:resizeHandles val="exact"/>
        </dgm:presLayoutVars>
      </dgm:prSet>
      <dgm:spPr/>
    </dgm:pt>
    <dgm:pt modelId="{C87AC8ED-6E7A-4216-B411-1F98D8EF32CF}" type="pres">
      <dgm:prSet presAssocID="{9B7D0819-F366-45E3-BF77-9D74AAF13DE5}" presName="arrow" presStyleLbl="node1" presStyleIdx="0" presStyleCnt="2">
        <dgm:presLayoutVars>
          <dgm:bulletEnabled val="1"/>
        </dgm:presLayoutVars>
      </dgm:prSet>
      <dgm:spPr/>
    </dgm:pt>
    <dgm:pt modelId="{BE1B56AE-DE0F-48A8-BEAB-480BEE95FD22}" type="pres">
      <dgm:prSet presAssocID="{659A4319-2118-4BBD-A5E0-F3C4F3ADCD9B}" presName="arrow" presStyleLbl="node1" presStyleIdx="1" presStyleCnt="2">
        <dgm:presLayoutVars>
          <dgm:bulletEnabled val="1"/>
        </dgm:presLayoutVars>
      </dgm:prSet>
      <dgm:spPr/>
    </dgm:pt>
  </dgm:ptLst>
  <dgm:cxnLst>
    <dgm:cxn modelId="{5EBEC90A-28CF-4D3E-8FEA-C6ABCFCA940E}" type="presOf" srcId="{659A4319-2118-4BBD-A5E0-F3C4F3ADCD9B}" destId="{BE1B56AE-DE0F-48A8-BEAB-480BEE95FD22}" srcOrd="0" destOrd="0" presId="urn:microsoft.com/office/officeart/2005/8/layout/arrow1"/>
    <dgm:cxn modelId="{F9A3AC4E-3390-41B4-9B78-78CEDC1FC9F0}" srcId="{019B2078-8D7E-4BAD-9AFD-00E71E846E2C}" destId="{659A4319-2118-4BBD-A5E0-F3C4F3ADCD9B}" srcOrd="1" destOrd="0" parTransId="{56CB000F-DFA8-4C76-8E77-C84D81C92B66}" sibTransId="{2E9790E1-4E59-4A4F-8308-4B915148214A}"/>
    <dgm:cxn modelId="{97059C87-30FE-4498-B3CC-07C3DF962486}" type="presOf" srcId="{019B2078-8D7E-4BAD-9AFD-00E71E846E2C}" destId="{0D10C61C-140B-4653-A8D6-953974ED92EB}" srcOrd="0" destOrd="0" presId="urn:microsoft.com/office/officeart/2005/8/layout/arrow1"/>
    <dgm:cxn modelId="{F665F3AF-24B8-44E0-8311-5A06C1BAF1EF}" type="presOf" srcId="{9B7D0819-F366-45E3-BF77-9D74AAF13DE5}" destId="{C87AC8ED-6E7A-4216-B411-1F98D8EF32CF}" srcOrd="0" destOrd="0" presId="urn:microsoft.com/office/officeart/2005/8/layout/arrow1"/>
    <dgm:cxn modelId="{529F79DC-F956-4662-8756-F5738FCC14EB}" srcId="{019B2078-8D7E-4BAD-9AFD-00E71E846E2C}" destId="{9B7D0819-F366-45E3-BF77-9D74AAF13DE5}" srcOrd="0" destOrd="0" parTransId="{7BF0DD16-999E-4C81-BEF5-B2CBF7A3F06F}" sibTransId="{3E464727-FBF8-4CD6-9DFD-72BF2D276D95}"/>
    <dgm:cxn modelId="{73FC6B74-11F5-4503-BE30-584810717214}" type="presParOf" srcId="{0D10C61C-140B-4653-A8D6-953974ED92EB}" destId="{C87AC8ED-6E7A-4216-B411-1F98D8EF32CF}" srcOrd="0" destOrd="0" presId="urn:microsoft.com/office/officeart/2005/8/layout/arrow1"/>
    <dgm:cxn modelId="{0868F194-41C8-4448-935A-25ED1F3CC44A}" type="presParOf" srcId="{0D10C61C-140B-4653-A8D6-953974ED92EB}" destId="{BE1B56AE-DE0F-48A8-BEAB-480BEE95FD22}" srcOrd="1" destOrd="0" presId="urn:microsoft.com/office/officeart/2005/8/layout/arrow1"/>
  </dgm:cxnLst>
  <dgm:bg/>
  <dgm:whole/>
  <dgm:extLst>
    <a:ext uri="http://schemas.microsoft.com/office/drawing/2008/diagram">
      <dsp:dataModelExt xmlns:dsp="http://schemas.microsoft.com/office/drawing/2008/diagram" relId="rId7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019B2078-8D7E-4BAD-9AFD-00E71E846E2C}" type="doc">
      <dgm:prSet loTypeId="urn:microsoft.com/office/officeart/2005/8/layout/arrow1" loCatId="process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it-IT"/>
        </a:p>
      </dgm:t>
    </dgm:pt>
    <dgm:pt modelId="{9B7D0819-F366-45E3-BF77-9D74AAF13DE5}">
      <dgm:prSet phldrT="[Testo]" custT="1"/>
      <dgm:spPr>
        <a:solidFill>
          <a:schemeClr val="bg1"/>
        </a:solidFill>
        <a:ln>
          <a:solidFill>
            <a:srgbClr val="00223F"/>
          </a:solidFill>
        </a:ln>
      </dgm:spPr>
      <dgm:t>
        <a:bodyPr/>
        <a:lstStyle/>
        <a:p>
          <a:r>
            <a:rPr lang="it-IT" sz="900">
              <a:solidFill>
                <a:srgbClr val="00223F"/>
              </a:solidFill>
              <a:latin typeface="Tw Cen MT" panose="020B0602020104020603" pitchFamily="34" charset="0"/>
            </a:rPr>
            <a:t>Inserimento Dati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7BF0DD16-999E-4C81-BEF5-B2CBF7A3F06F}" type="parTrans" cxnId="{529F79DC-F956-4662-8756-F5738FCC14EB}">
      <dgm:prSet/>
      <dgm:spPr/>
      <dgm:t>
        <a:bodyPr/>
        <a:lstStyle/>
        <a:p>
          <a:endParaRPr lang="it-IT"/>
        </a:p>
      </dgm:t>
    </dgm:pt>
    <dgm:pt modelId="{3E464727-FBF8-4CD6-9DFD-72BF2D276D95}" type="sibTrans" cxnId="{529F79DC-F956-4662-8756-F5738FCC14EB}">
      <dgm:prSet/>
      <dgm:spPr/>
      <dgm:t>
        <a:bodyPr/>
        <a:lstStyle/>
        <a:p>
          <a:endParaRPr lang="it-IT"/>
        </a:p>
      </dgm:t>
    </dgm:pt>
    <dgm:pt modelId="{659A4319-2118-4BBD-A5E0-F3C4F3ADCD9B}">
      <dgm:prSet phldrT="[Testo]" custT="1"/>
      <dgm:spPr>
        <a:solidFill>
          <a:schemeClr val="bg1"/>
        </a:solidFill>
        <a:ln>
          <a:solidFill>
            <a:srgbClr val="00223F"/>
          </a:solidFill>
        </a:ln>
      </dgm:spPr>
      <dgm:t>
        <a:bodyPr/>
        <a:lstStyle/>
        <a:p>
          <a:r>
            <a:rPr lang="it-IT" sz="700">
              <a:solidFill>
                <a:srgbClr val="00223F"/>
              </a:solidFill>
              <a:latin typeface="Tw Cen MT" panose="020B0602020104020603" pitchFamily="34" charset="0"/>
            </a:rPr>
            <a:t>Grafici di analisi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56CB000F-DFA8-4C76-8E77-C84D81C92B66}" type="parTrans" cxnId="{F9A3AC4E-3390-41B4-9B78-78CEDC1FC9F0}">
      <dgm:prSet/>
      <dgm:spPr/>
      <dgm:t>
        <a:bodyPr/>
        <a:lstStyle/>
        <a:p>
          <a:endParaRPr lang="it-IT"/>
        </a:p>
      </dgm:t>
    </dgm:pt>
    <dgm:pt modelId="{2E9790E1-4E59-4A4F-8308-4B915148214A}" type="sibTrans" cxnId="{F9A3AC4E-3390-41B4-9B78-78CEDC1FC9F0}">
      <dgm:prSet/>
      <dgm:spPr/>
      <dgm:t>
        <a:bodyPr/>
        <a:lstStyle/>
        <a:p>
          <a:endParaRPr lang="it-IT"/>
        </a:p>
      </dgm:t>
    </dgm:pt>
    <dgm:pt modelId="{0D10C61C-140B-4653-A8D6-953974ED92EB}" type="pres">
      <dgm:prSet presAssocID="{019B2078-8D7E-4BAD-9AFD-00E71E846E2C}" presName="cycle" presStyleCnt="0">
        <dgm:presLayoutVars>
          <dgm:dir/>
          <dgm:resizeHandles val="exact"/>
        </dgm:presLayoutVars>
      </dgm:prSet>
      <dgm:spPr/>
    </dgm:pt>
    <dgm:pt modelId="{C87AC8ED-6E7A-4216-B411-1F98D8EF32CF}" type="pres">
      <dgm:prSet presAssocID="{9B7D0819-F366-45E3-BF77-9D74AAF13DE5}" presName="arrow" presStyleLbl="node1" presStyleIdx="0" presStyleCnt="2">
        <dgm:presLayoutVars>
          <dgm:bulletEnabled val="1"/>
        </dgm:presLayoutVars>
      </dgm:prSet>
      <dgm:spPr/>
    </dgm:pt>
    <dgm:pt modelId="{BE1B56AE-DE0F-48A8-BEAB-480BEE95FD22}" type="pres">
      <dgm:prSet presAssocID="{659A4319-2118-4BBD-A5E0-F3C4F3ADCD9B}" presName="arrow" presStyleLbl="node1" presStyleIdx="1" presStyleCnt="2">
        <dgm:presLayoutVars>
          <dgm:bulletEnabled val="1"/>
        </dgm:presLayoutVars>
      </dgm:prSet>
      <dgm:spPr/>
    </dgm:pt>
  </dgm:ptLst>
  <dgm:cxnLst>
    <dgm:cxn modelId="{5EBEC90A-28CF-4D3E-8FEA-C6ABCFCA940E}" type="presOf" srcId="{659A4319-2118-4BBD-A5E0-F3C4F3ADCD9B}" destId="{BE1B56AE-DE0F-48A8-BEAB-480BEE95FD22}" srcOrd="0" destOrd="0" presId="urn:microsoft.com/office/officeart/2005/8/layout/arrow1"/>
    <dgm:cxn modelId="{F9A3AC4E-3390-41B4-9B78-78CEDC1FC9F0}" srcId="{019B2078-8D7E-4BAD-9AFD-00E71E846E2C}" destId="{659A4319-2118-4BBD-A5E0-F3C4F3ADCD9B}" srcOrd="1" destOrd="0" parTransId="{56CB000F-DFA8-4C76-8E77-C84D81C92B66}" sibTransId="{2E9790E1-4E59-4A4F-8308-4B915148214A}"/>
    <dgm:cxn modelId="{97059C87-30FE-4498-B3CC-07C3DF962486}" type="presOf" srcId="{019B2078-8D7E-4BAD-9AFD-00E71E846E2C}" destId="{0D10C61C-140B-4653-A8D6-953974ED92EB}" srcOrd="0" destOrd="0" presId="urn:microsoft.com/office/officeart/2005/8/layout/arrow1"/>
    <dgm:cxn modelId="{F665F3AF-24B8-44E0-8311-5A06C1BAF1EF}" type="presOf" srcId="{9B7D0819-F366-45E3-BF77-9D74AAF13DE5}" destId="{C87AC8ED-6E7A-4216-B411-1F98D8EF32CF}" srcOrd="0" destOrd="0" presId="urn:microsoft.com/office/officeart/2005/8/layout/arrow1"/>
    <dgm:cxn modelId="{529F79DC-F956-4662-8756-F5738FCC14EB}" srcId="{019B2078-8D7E-4BAD-9AFD-00E71E846E2C}" destId="{9B7D0819-F366-45E3-BF77-9D74AAF13DE5}" srcOrd="0" destOrd="0" parTransId="{7BF0DD16-999E-4C81-BEF5-B2CBF7A3F06F}" sibTransId="{3E464727-FBF8-4CD6-9DFD-72BF2D276D95}"/>
    <dgm:cxn modelId="{73FC6B74-11F5-4503-BE30-584810717214}" type="presParOf" srcId="{0D10C61C-140B-4653-A8D6-953974ED92EB}" destId="{C87AC8ED-6E7A-4216-B411-1F98D8EF32CF}" srcOrd="0" destOrd="0" presId="urn:microsoft.com/office/officeart/2005/8/layout/arrow1"/>
    <dgm:cxn modelId="{0868F194-41C8-4448-935A-25ED1F3CC44A}" type="presParOf" srcId="{0D10C61C-140B-4653-A8D6-953974ED92EB}" destId="{BE1B56AE-DE0F-48A8-BEAB-480BEE95FD22}" srcOrd="1" destOrd="0" presId="urn:microsoft.com/office/officeart/2005/8/layout/arrow1"/>
  </dgm:cxnLst>
  <dgm:bg/>
  <dgm:whole/>
  <dgm:extLst>
    <a:ext uri="http://schemas.microsoft.com/office/drawing/2008/diagram">
      <dsp:dataModelExt xmlns:dsp="http://schemas.microsoft.com/office/drawing/2008/diagram" relId="rId7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C87AC8ED-6E7A-4216-B411-1F98D8EF32CF}">
      <dsp:nvSpPr>
        <dsp:cNvPr id="0" name=""/>
        <dsp:cNvSpPr/>
      </dsp:nvSpPr>
      <dsp:spPr>
        <a:xfrm rot="16200000">
          <a:off x="83" y="28"/>
          <a:ext cx="662460" cy="662460"/>
        </a:xfrm>
        <a:prstGeom prst="upArrow">
          <a:avLst>
            <a:gd name="adj1" fmla="val 50000"/>
            <a:gd name="adj2" fmla="val 35000"/>
          </a:avLst>
        </a:prstGeom>
        <a:solidFill>
          <a:schemeClr val="bg1"/>
        </a:solidFill>
        <a:ln w="12700" cap="flat" cmpd="sng" algn="ctr">
          <a:solidFill>
            <a:srgbClr val="00223F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008" tIns="64008" rIns="64008" bIns="64008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900" kern="1200">
              <a:solidFill>
                <a:srgbClr val="00223F"/>
              </a:solidFill>
              <a:latin typeface="Tw Cen MT" panose="020B0602020104020603" pitchFamily="34" charset="0"/>
            </a:rPr>
            <a:t>Inserimento Dati</a:t>
          </a:r>
        </a:p>
      </dsp:txBody>
      <dsp:txXfrm rot="5400000">
        <a:off x="116013" y="165643"/>
        <a:ext cx="546530" cy="331230"/>
      </dsp:txXfrm>
    </dsp:sp>
    <dsp:sp modelId="{BE1B56AE-DE0F-48A8-BEAB-480BEE95FD22}">
      <dsp:nvSpPr>
        <dsp:cNvPr id="0" name=""/>
        <dsp:cNvSpPr/>
      </dsp:nvSpPr>
      <dsp:spPr>
        <a:xfrm rot="5400000">
          <a:off x="791603" y="28"/>
          <a:ext cx="662460" cy="662460"/>
        </a:xfrm>
        <a:prstGeom prst="upArrow">
          <a:avLst>
            <a:gd name="adj1" fmla="val 50000"/>
            <a:gd name="adj2" fmla="val 35000"/>
          </a:avLst>
        </a:prstGeom>
        <a:solidFill>
          <a:schemeClr val="bg1"/>
        </a:solidFill>
        <a:ln w="12700" cap="flat" cmpd="sng" algn="ctr">
          <a:solidFill>
            <a:srgbClr val="00223F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008" tIns="64008" rIns="64008" bIns="64008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900" kern="1200">
              <a:solidFill>
                <a:schemeClr val="tx1"/>
              </a:solidFill>
              <a:latin typeface="Tw Cen MT" panose="020B0602020104020603" pitchFamily="34" charset="0"/>
            </a:rPr>
            <a:t>Grafici di analisi</a:t>
          </a:r>
        </a:p>
      </dsp:txBody>
      <dsp:txXfrm rot="-5400000">
        <a:off x="791603" y="165643"/>
        <a:ext cx="546530" cy="331230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C87AC8ED-6E7A-4216-B411-1F98D8EF32CF}">
      <dsp:nvSpPr>
        <dsp:cNvPr id="0" name=""/>
        <dsp:cNvSpPr/>
      </dsp:nvSpPr>
      <dsp:spPr>
        <a:xfrm rot="16200000">
          <a:off x="53" y="57000"/>
          <a:ext cx="607784" cy="607784"/>
        </a:xfrm>
        <a:prstGeom prst="upArrow">
          <a:avLst>
            <a:gd name="adj1" fmla="val 50000"/>
            <a:gd name="adj2" fmla="val 35000"/>
          </a:avLst>
        </a:prstGeom>
        <a:solidFill>
          <a:schemeClr val="bg1"/>
        </a:solidFill>
        <a:ln w="12700" cap="flat" cmpd="sng" algn="ctr">
          <a:solidFill>
            <a:srgbClr val="00223F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008" tIns="64008" rIns="64008" bIns="64008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900" kern="1200">
              <a:solidFill>
                <a:srgbClr val="00223F"/>
              </a:solidFill>
              <a:latin typeface="Tw Cen MT" panose="020B0602020104020603" pitchFamily="34" charset="0"/>
            </a:rPr>
            <a:t>Inserimento Dati</a:t>
          </a:r>
        </a:p>
      </dsp:txBody>
      <dsp:txXfrm rot="5400000">
        <a:off x="106415" y="208946"/>
        <a:ext cx="501422" cy="303892"/>
      </dsp:txXfrm>
    </dsp:sp>
    <dsp:sp modelId="{BE1B56AE-DE0F-48A8-BEAB-480BEE95FD22}">
      <dsp:nvSpPr>
        <dsp:cNvPr id="0" name=""/>
        <dsp:cNvSpPr/>
      </dsp:nvSpPr>
      <dsp:spPr>
        <a:xfrm rot="5400000">
          <a:off x="668821" y="57000"/>
          <a:ext cx="607784" cy="607784"/>
        </a:xfrm>
        <a:prstGeom prst="upArrow">
          <a:avLst>
            <a:gd name="adj1" fmla="val 50000"/>
            <a:gd name="adj2" fmla="val 35000"/>
          </a:avLst>
        </a:prstGeom>
        <a:solidFill>
          <a:schemeClr val="bg1"/>
        </a:solidFill>
        <a:ln w="12700" cap="flat" cmpd="sng" algn="ctr">
          <a:solidFill>
            <a:srgbClr val="00223F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9784" tIns="49784" rIns="49784" bIns="49784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700" kern="1200">
              <a:solidFill>
                <a:srgbClr val="00223F"/>
              </a:solidFill>
              <a:latin typeface="Tw Cen MT" panose="020B0602020104020603" pitchFamily="34" charset="0"/>
            </a:rPr>
            <a:t>Grafici di analisi</a:t>
          </a:r>
        </a:p>
      </dsp:txBody>
      <dsp:txXfrm rot="-5400000">
        <a:off x="668821" y="208946"/>
        <a:ext cx="501422" cy="303892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arrow1">
  <dgm:title val=""/>
  <dgm:desc val=""/>
  <dgm:catLst>
    <dgm:cat type="relationship" pri="7000"/>
    <dgm:cat type="process" pri="32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</dgm:ptLst>
      <dgm:cxnLst>
        <dgm:cxn modelId="4" srcId="0" destId="1" srcOrd="0" destOrd="0"/>
        <dgm:cxn modelId="5" srcId="0" destId="2" srcOrd="1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axis="ch" ptType="node" func="cnt" op="equ" val="2">
        <dgm:choose name="Name2">
          <dgm:if name="Name3" func="var" arg="dir" op="equ" val="norm">
            <dgm:alg type="cycle">
              <dgm:param type="rotPath" val="alongPath"/>
              <dgm:param type="stAng" val="270"/>
            </dgm:alg>
          </dgm:if>
          <dgm:else name="Name4">
            <dgm:alg type="cycle">
              <dgm:param type="rotPath" val="alongPath"/>
              <dgm:param type="stAng" val="90"/>
              <dgm:param type="spanAng" val="-360"/>
            </dgm:alg>
          </dgm:else>
        </dgm:choose>
      </dgm:if>
      <dgm:else name="Name5">
        <dgm:choose name="Name6">
          <dgm:if name="Name7" func="var" arg="dir" op="equ" val="norm">
            <dgm:alg type="cycle">
              <dgm:param type="rotPath" val="alongPath"/>
            </dgm:alg>
          </dgm:if>
          <dgm:else name="Name8">
            <dgm:alg type="cycle">
              <dgm:param type="rotPath" val="alongPath"/>
              <dgm:param type="spanAng" val="-360"/>
            </dgm:alg>
          </dgm:else>
        </dgm:choose>
      </dgm:else>
    </dgm:choose>
    <dgm:shape xmlns:r="http://schemas.openxmlformats.org/officeDocument/2006/relationships" r:blip="">
      <dgm:adjLst/>
    </dgm:shape>
    <dgm:presOf/>
    <dgm:choose name="Name9">
      <dgm:if name="Name10" axis="ch" ptType="node" func="cnt" op="equ" val="2">
        <dgm:constrLst>
          <dgm:constr type="primFontSz" for="ch" ptType="node" op="equ" val="65"/>
          <dgm:constr type="w" for="ch" ptType="node" refType="w"/>
          <dgm:constr type="h" for="ch" ptType="node" refType="w" refFor="ch" refPtType="node"/>
          <dgm:constr type="sibSp" refType="w" refFor="ch" refPtType="node" fact="0.1"/>
          <dgm:constr type="diam" refType="w" refFor="ch" refPtType="node" fact="1.1"/>
        </dgm:constrLst>
      </dgm:if>
      <dgm:if name="Name11" axis="ch" ptType="node" func="cnt" op="equ" val="5">
        <dgm:constrLst>
          <dgm:constr type="primFontSz" for="ch" ptType="node" op="equ" val="65"/>
          <dgm:constr type="w" for="ch" ptType="node" refType="w"/>
          <dgm:constr type="h" for="ch" ptType="node" refType="w" refFor="ch" refPtType="node"/>
          <dgm:constr type="sibSp" refType="w" refFor="ch" refPtType="node" fact="-0.24"/>
        </dgm:constrLst>
      </dgm:if>
      <dgm:if name="Name12" axis="ch" ptType="node" func="cnt" op="equ" val="6">
        <dgm:constrLst>
          <dgm:constr type="primFontSz" for="ch" ptType="node" op="equ" val="65"/>
          <dgm:constr type="w" for="ch" ptType="node" refType="w"/>
          <dgm:constr type="h" for="ch" ptType="node" refType="w" refFor="ch" refPtType="node"/>
          <dgm:constr type="sibSp" refType="w" refFor="ch" refPtType="node" fact="-0.2"/>
        </dgm:constrLst>
      </dgm:if>
      <dgm:if name="Name13" axis="ch" ptType="node" func="cnt" op="equ" val="8">
        <dgm:constrLst>
          <dgm:constr type="primFontSz" for="ch" ptType="node" op="equ" val="65"/>
          <dgm:constr type="w" for="ch" ptType="node" refType="w"/>
          <dgm:constr type="h" for="ch" ptType="node" refType="w" refFor="ch" refPtType="node"/>
          <dgm:constr type="sibSp" refType="w" refFor="ch" refPtType="node" fact="-0.15"/>
        </dgm:constrLst>
      </dgm:if>
      <dgm:if name="Name14" axis="ch" ptType="node" func="cnt" op="equ" val="10">
        <dgm:constrLst>
          <dgm:constr type="primFontSz" for="ch" ptType="node" op="lte" val="65"/>
          <dgm:constr type="w" for="ch" ptType="node" refType="w"/>
          <dgm:constr type="h" for="ch" ptType="node" refType="w" refFor="ch" refPtType="node"/>
          <dgm:constr type="sibSp" refType="w" refFor="ch" refPtType="node" fact="-0.24"/>
        </dgm:constrLst>
      </dgm:if>
      <dgm:else name="Name15">
        <dgm:constrLst>
          <dgm:constr type="primFontSz" for="ch" ptType="node" op="equ" val="65"/>
          <dgm:constr type="w" for="ch" ptType="node" refType="w"/>
          <dgm:constr type="h" for="ch" ptType="node" refType="w" refFor="ch" refPtType="node"/>
          <dgm:constr type="sibSp" refType="w" refFor="ch" refPtType="node" fact="-0.35"/>
        </dgm:constrLst>
      </dgm:else>
    </dgm:choose>
    <dgm:ruleLst/>
    <dgm:forEach name="Name16" axis="ch" ptType="node">
      <dgm:layoutNode name="arrow">
        <dgm:varLst>
          <dgm:bulletEnabled val="1"/>
        </dgm:varLst>
        <dgm:alg type="tx"/>
        <dgm:shape xmlns:r="http://schemas.openxmlformats.org/officeDocument/2006/relationships" type="upArrow" r:blip="">
          <dgm:adjLst>
            <dgm:adj idx="2" val="0.35"/>
          </dgm:adjLst>
        </dgm:shape>
        <dgm:presOf axis="desOrSelf" ptType="node"/>
        <dgm:constrLst/>
        <dgm:ruleLst>
          <dgm:rule type="primFontSz" val="5" fact="NaN" max="NaN"/>
        </dgm:ruleLst>
      </dgm:layoutNode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arrow1">
  <dgm:title val=""/>
  <dgm:desc val=""/>
  <dgm:catLst>
    <dgm:cat type="relationship" pri="7000"/>
    <dgm:cat type="process" pri="32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</dgm:ptLst>
      <dgm:cxnLst>
        <dgm:cxn modelId="4" srcId="0" destId="1" srcOrd="0" destOrd="0"/>
        <dgm:cxn modelId="5" srcId="0" destId="2" srcOrd="1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axis="ch" ptType="node" func="cnt" op="equ" val="2">
        <dgm:choose name="Name2">
          <dgm:if name="Name3" func="var" arg="dir" op="equ" val="norm">
            <dgm:alg type="cycle">
              <dgm:param type="rotPath" val="alongPath"/>
              <dgm:param type="stAng" val="270"/>
            </dgm:alg>
          </dgm:if>
          <dgm:else name="Name4">
            <dgm:alg type="cycle">
              <dgm:param type="rotPath" val="alongPath"/>
              <dgm:param type="stAng" val="90"/>
              <dgm:param type="spanAng" val="-360"/>
            </dgm:alg>
          </dgm:else>
        </dgm:choose>
      </dgm:if>
      <dgm:else name="Name5">
        <dgm:choose name="Name6">
          <dgm:if name="Name7" func="var" arg="dir" op="equ" val="norm">
            <dgm:alg type="cycle">
              <dgm:param type="rotPath" val="alongPath"/>
            </dgm:alg>
          </dgm:if>
          <dgm:else name="Name8">
            <dgm:alg type="cycle">
              <dgm:param type="rotPath" val="alongPath"/>
              <dgm:param type="spanAng" val="-360"/>
            </dgm:alg>
          </dgm:else>
        </dgm:choose>
      </dgm:else>
    </dgm:choose>
    <dgm:shape xmlns:r="http://schemas.openxmlformats.org/officeDocument/2006/relationships" r:blip="">
      <dgm:adjLst/>
    </dgm:shape>
    <dgm:presOf/>
    <dgm:choose name="Name9">
      <dgm:if name="Name10" axis="ch" ptType="node" func="cnt" op="equ" val="2">
        <dgm:constrLst>
          <dgm:constr type="primFontSz" for="ch" ptType="node" op="equ" val="65"/>
          <dgm:constr type="w" for="ch" ptType="node" refType="w"/>
          <dgm:constr type="h" for="ch" ptType="node" refType="w" refFor="ch" refPtType="node"/>
          <dgm:constr type="sibSp" refType="w" refFor="ch" refPtType="node" fact="0.1"/>
          <dgm:constr type="diam" refType="w" refFor="ch" refPtType="node" fact="1.1"/>
        </dgm:constrLst>
      </dgm:if>
      <dgm:if name="Name11" axis="ch" ptType="node" func="cnt" op="equ" val="5">
        <dgm:constrLst>
          <dgm:constr type="primFontSz" for="ch" ptType="node" op="equ" val="65"/>
          <dgm:constr type="w" for="ch" ptType="node" refType="w"/>
          <dgm:constr type="h" for="ch" ptType="node" refType="w" refFor="ch" refPtType="node"/>
          <dgm:constr type="sibSp" refType="w" refFor="ch" refPtType="node" fact="-0.24"/>
        </dgm:constrLst>
      </dgm:if>
      <dgm:if name="Name12" axis="ch" ptType="node" func="cnt" op="equ" val="6">
        <dgm:constrLst>
          <dgm:constr type="primFontSz" for="ch" ptType="node" op="equ" val="65"/>
          <dgm:constr type="w" for="ch" ptType="node" refType="w"/>
          <dgm:constr type="h" for="ch" ptType="node" refType="w" refFor="ch" refPtType="node"/>
          <dgm:constr type="sibSp" refType="w" refFor="ch" refPtType="node" fact="-0.2"/>
        </dgm:constrLst>
      </dgm:if>
      <dgm:if name="Name13" axis="ch" ptType="node" func="cnt" op="equ" val="8">
        <dgm:constrLst>
          <dgm:constr type="primFontSz" for="ch" ptType="node" op="equ" val="65"/>
          <dgm:constr type="w" for="ch" ptType="node" refType="w"/>
          <dgm:constr type="h" for="ch" ptType="node" refType="w" refFor="ch" refPtType="node"/>
          <dgm:constr type="sibSp" refType="w" refFor="ch" refPtType="node" fact="-0.15"/>
        </dgm:constrLst>
      </dgm:if>
      <dgm:if name="Name14" axis="ch" ptType="node" func="cnt" op="equ" val="10">
        <dgm:constrLst>
          <dgm:constr type="primFontSz" for="ch" ptType="node" op="lte" val="65"/>
          <dgm:constr type="w" for="ch" ptType="node" refType="w"/>
          <dgm:constr type="h" for="ch" ptType="node" refType="w" refFor="ch" refPtType="node"/>
          <dgm:constr type="sibSp" refType="w" refFor="ch" refPtType="node" fact="-0.24"/>
        </dgm:constrLst>
      </dgm:if>
      <dgm:else name="Name15">
        <dgm:constrLst>
          <dgm:constr type="primFontSz" for="ch" ptType="node" op="equ" val="65"/>
          <dgm:constr type="w" for="ch" ptType="node" refType="w"/>
          <dgm:constr type="h" for="ch" ptType="node" refType="w" refFor="ch" refPtType="node"/>
          <dgm:constr type="sibSp" refType="w" refFor="ch" refPtType="node" fact="-0.35"/>
        </dgm:constrLst>
      </dgm:else>
    </dgm:choose>
    <dgm:ruleLst/>
    <dgm:forEach name="Name16" axis="ch" ptType="node">
      <dgm:layoutNode name="arrow">
        <dgm:varLst>
          <dgm:bulletEnabled val="1"/>
        </dgm:varLst>
        <dgm:alg type="tx"/>
        <dgm:shape xmlns:r="http://schemas.openxmlformats.org/officeDocument/2006/relationships" type="upArrow" r:blip="">
          <dgm:adjLst>
            <dgm:adj idx="2" val="0.35"/>
          </dgm:adjLst>
        </dgm:shape>
        <dgm:presOf axis="desOrSelf" ptType="node"/>
        <dgm:constrLst/>
        <dgm:ruleLst>
          <dgm:rule type="primFontSz" val="5" fact="NaN" max="NaN"/>
        </dgm:ruleLst>
      </dgm:layoutNod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diagramData" Target="../diagrams/data1.xml"/><Relationship Id="rId7" Type="http://schemas.microsoft.com/office/2007/relationships/diagramDrawing" Target="../diagrams/drawing1.xml"/><Relationship Id="rId2" Type="http://schemas.openxmlformats.org/officeDocument/2006/relationships/hyperlink" Target="#KPI!A1"/><Relationship Id="rId1" Type="http://schemas.openxmlformats.org/officeDocument/2006/relationships/hyperlink" Target="#KPI!AH1"/><Relationship Id="rId6" Type="http://schemas.openxmlformats.org/officeDocument/2006/relationships/diagramColors" Target="../diagrams/colors1.xml"/><Relationship Id="rId5" Type="http://schemas.openxmlformats.org/officeDocument/2006/relationships/diagramQuickStyle" Target="../diagrams/quickStyle1.xml"/><Relationship Id="rId4" Type="http://schemas.openxmlformats.org/officeDocument/2006/relationships/diagramLayout" Target="../diagrams/layou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diagramData" Target="../diagrams/data2.xml"/><Relationship Id="rId7" Type="http://schemas.microsoft.com/office/2007/relationships/diagramDrawing" Target="../diagrams/drawing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diagramColors" Target="../diagrams/colors2.xml"/><Relationship Id="rId5" Type="http://schemas.openxmlformats.org/officeDocument/2006/relationships/diagramQuickStyle" Target="../diagrams/quickStyle2.xml"/><Relationship Id="rId4" Type="http://schemas.openxmlformats.org/officeDocument/2006/relationships/diagramLayout" Target="../diagrams/layou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123825</xdr:colOff>
      <xdr:row>0</xdr:row>
      <xdr:rowOff>1025388</xdr:rowOff>
    </xdr:to>
    <xdr:sp macro="" textlink="">
      <xdr:nvSpPr>
        <xdr:cNvPr id="2" name="Rettangolo con angoli arrotondati 1">
          <a:extLst>
            <a:ext uri="{FF2B5EF4-FFF2-40B4-BE49-F238E27FC236}">
              <a16:creationId xmlns:a16="http://schemas.microsoft.com/office/drawing/2014/main" id="{BC9A6144-E3E6-42DC-9852-1C9D43104455}"/>
            </a:ext>
          </a:extLst>
        </xdr:cNvPr>
        <xdr:cNvSpPr/>
      </xdr:nvSpPr>
      <xdr:spPr>
        <a:xfrm>
          <a:off x="0" y="0"/>
          <a:ext cx="8753475" cy="102538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it-IT" sz="4400" b="1" i="1" cap="none" spc="0">
              <a:ln w="13462">
                <a:solidFill>
                  <a:srgbClr val="00919E"/>
                </a:solidFill>
                <a:prstDash val="solid"/>
              </a:ln>
              <a:solidFill>
                <a:schemeClr val="bg1"/>
              </a:solidFill>
              <a:effectLst>
                <a:outerShdw dist="38100" dir="2700000" algn="bl" rotWithShape="0">
                  <a:schemeClr val="accent5"/>
                </a:outerShdw>
              </a:effectLst>
              <a:latin typeface="Tw Cen MT" panose="020B0602020104020603" pitchFamily="34" charset="0"/>
              <a:ea typeface="Verdana" panose="020B0604030504040204" pitchFamily="34" charset="0"/>
              <a:cs typeface="+mn-cs"/>
            </a:rPr>
            <a:t>Gestione Kpi e confronto con il Budget </a:t>
          </a:r>
        </a:p>
      </xdr:txBody>
    </xdr:sp>
    <xdr:clientData/>
  </xdr:twoCellAnchor>
  <xdr:twoCellAnchor>
    <xdr:from>
      <xdr:col>8</xdr:col>
      <xdr:colOff>295275</xdr:colOff>
      <xdr:row>0</xdr:row>
      <xdr:rowOff>381000</xdr:rowOff>
    </xdr:from>
    <xdr:to>
      <xdr:col>8</xdr:col>
      <xdr:colOff>666750</xdr:colOff>
      <xdr:row>0</xdr:row>
      <xdr:rowOff>590550</xdr:rowOff>
    </xdr:to>
    <xdr:sp macro="" textlink="">
      <xdr:nvSpPr>
        <xdr:cNvPr id="5" name="Freccia a destra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271CCC-7412-4900-86D3-ABD7AB09BAED}"/>
            </a:ext>
          </a:extLst>
        </xdr:cNvPr>
        <xdr:cNvSpPr/>
      </xdr:nvSpPr>
      <xdr:spPr>
        <a:xfrm>
          <a:off x="8924925" y="381000"/>
          <a:ext cx="371475" cy="209550"/>
        </a:xfrm>
        <a:prstGeom prst="rightArrow">
          <a:avLst/>
        </a:prstGeom>
        <a:solidFill>
          <a:srgbClr val="C5D9F0"/>
        </a:solidFill>
        <a:ln>
          <a:solidFill>
            <a:srgbClr val="00223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26</xdr:col>
      <xdr:colOff>47625</xdr:colOff>
      <xdr:row>0</xdr:row>
      <xdr:rowOff>361950</xdr:rowOff>
    </xdr:from>
    <xdr:to>
      <xdr:col>26</xdr:col>
      <xdr:colOff>419100</xdr:colOff>
      <xdr:row>0</xdr:row>
      <xdr:rowOff>571500</xdr:rowOff>
    </xdr:to>
    <xdr:sp macro="" textlink="">
      <xdr:nvSpPr>
        <xdr:cNvPr id="7" name="Freccia a destra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9D2A0D3-E871-42E0-AB21-B25E3B5ACB14}"/>
            </a:ext>
          </a:extLst>
        </xdr:cNvPr>
        <xdr:cNvSpPr/>
      </xdr:nvSpPr>
      <xdr:spPr>
        <a:xfrm flipH="1">
          <a:off x="22240875" y="361950"/>
          <a:ext cx="371475" cy="209550"/>
        </a:xfrm>
        <a:prstGeom prst="rightArrow">
          <a:avLst/>
        </a:prstGeom>
        <a:solidFill>
          <a:srgbClr val="C5D9F0"/>
        </a:solidFill>
        <a:ln>
          <a:solidFill>
            <a:srgbClr val="00223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8</xdr:col>
      <xdr:colOff>165102</xdr:colOff>
      <xdr:row>0</xdr:row>
      <xdr:rowOff>730250</xdr:rowOff>
    </xdr:from>
    <xdr:to>
      <xdr:col>13</xdr:col>
      <xdr:colOff>133350</xdr:colOff>
      <xdr:row>2</xdr:row>
      <xdr:rowOff>97367</xdr:rowOff>
    </xdr:to>
    <xdr:graphicFrame macro="">
      <xdr:nvGraphicFramePr>
        <xdr:cNvPr id="4" name="Diagramma 3">
          <a:extLst>
            <a:ext uri="{FF2B5EF4-FFF2-40B4-BE49-F238E27FC236}">
              <a16:creationId xmlns:a16="http://schemas.microsoft.com/office/drawing/2014/main" id="{68C2CCA6-48DB-874A-2300-187A02E0CA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3" r:lo="rId4" r:qs="rId5" r:cs="rId6"/>
        </a:graphicData>
      </a:graphic>
    </xdr:graphicFrame>
    <xdr:clientData/>
  </xdr:twoCellAnchor>
  <xdr:twoCellAnchor editAs="oneCell">
    <xdr:from>
      <xdr:col>28</xdr:col>
      <xdr:colOff>711200</xdr:colOff>
      <xdr:row>0</xdr:row>
      <xdr:rowOff>87394</xdr:rowOff>
    </xdr:from>
    <xdr:to>
      <xdr:col>31</xdr:col>
      <xdr:colOff>218016</xdr:colOff>
      <xdr:row>0</xdr:row>
      <xdr:rowOff>1033088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B710516F-D213-7A96-45C8-970F6CEE1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422100" y="87394"/>
          <a:ext cx="2374900" cy="945694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30</xdr:row>
      <xdr:rowOff>17992</xdr:rowOff>
    </xdr:from>
    <xdr:to>
      <xdr:col>0</xdr:col>
      <xdr:colOff>1862663</xdr:colOff>
      <xdr:row>37</xdr:row>
      <xdr:rowOff>13693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Indicatore">
              <a:extLst>
                <a:ext uri="{FF2B5EF4-FFF2-40B4-BE49-F238E27FC236}">
                  <a16:creationId xmlns:a16="http://schemas.microsoft.com/office/drawing/2014/main" id="{7B7D0709-F604-41A1-F789-1B225974AC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dicator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266" y="5967942"/>
              <a:ext cx="1801281" cy="12689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>
    <xdr:from>
      <xdr:col>8</xdr:col>
      <xdr:colOff>143934</xdr:colOff>
      <xdr:row>26</xdr:row>
      <xdr:rowOff>175685</xdr:rowOff>
    </xdr:from>
    <xdr:to>
      <xdr:col>17</xdr:col>
      <xdr:colOff>69088</xdr:colOff>
      <xdr:row>48</xdr:row>
      <xdr:rowOff>106891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6E71C90D-A522-536B-0791-5D164833EBCC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15122</xdr:colOff>
      <xdr:row>2</xdr:row>
      <xdr:rowOff>16027</xdr:rowOff>
    </xdr:from>
    <xdr:to>
      <xdr:col>17</xdr:col>
      <xdr:colOff>61687</xdr:colOff>
      <xdr:row>24</xdr:row>
      <xdr:rowOff>47776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71EA27C5-DFD1-4BCA-B2DD-CA2069A202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0</xdr:row>
      <xdr:rowOff>0</xdr:rowOff>
    </xdr:from>
    <xdr:to>
      <xdr:col>12</xdr:col>
      <xdr:colOff>413806</xdr:colOff>
      <xdr:row>0</xdr:row>
      <xdr:rowOff>721785</xdr:rowOff>
    </xdr:to>
    <xdr:graphicFrame macro="">
      <xdr:nvGraphicFramePr>
        <xdr:cNvPr id="7" name="Diagramma 6">
          <a:extLst>
            <a:ext uri="{FF2B5EF4-FFF2-40B4-BE49-F238E27FC236}">
              <a16:creationId xmlns:a16="http://schemas.microsoft.com/office/drawing/2014/main" id="{9ACB6F2A-E693-4DDD-93D4-897A403DF3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3" r:lo="rId4" r:qs="rId5" r:cs="rId6"/>
        </a:graphicData>
      </a:graphic>
    </xdr:graphicFrame>
    <xdr:clientData/>
  </xdr:twoCellAnchor>
  <xdr:twoCellAnchor editAs="oneCell">
    <xdr:from>
      <xdr:col>13</xdr:col>
      <xdr:colOff>224116</xdr:colOff>
      <xdr:row>0</xdr:row>
      <xdr:rowOff>149411</xdr:rowOff>
    </xdr:from>
    <xdr:to>
      <xdr:col>16</xdr:col>
      <xdr:colOff>565333</xdr:colOff>
      <xdr:row>1</xdr:row>
      <xdr:rowOff>368792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1B5F143B-D8F9-8711-1058-22CA4EF72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66822" y="149411"/>
          <a:ext cx="2657099" cy="100379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1150470</xdr:colOff>
      <xdr:row>0</xdr:row>
      <xdr:rowOff>642471</xdr:rowOff>
    </xdr:to>
    <xdr:sp macro="" textlink="">
      <xdr:nvSpPr>
        <xdr:cNvPr id="9" name="Rettangolo con angoli arrotondati 8">
          <a:extLst>
            <a:ext uri="{FF2B5EF4-FFF2-40B4-BE49-F238E27FC236}">
              <a16:creationId xmlns:a16="http://schemas.microsoft.com/office/drawing/2014/main" id="{E09C780F-4463-4CAE-AB4D-7C028434EF7F}"/>
            </a:ext>
          </a:extLst>
        </xdr:cNvPr>
        <xdr:cNvSpPr/>
      </xdr:nvSpPr>
      <xdr:spPr>
        <a:xfrm>
          <a:off x="0" y="0"/>
          <a:ext cx="8919882" cy="64247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it-IT" sz="4400" b="1" i="1" cap="none" spc="0">
              <a:ln w="13462">
                <a:solidFill>
                  <a:srgbClr val="00919E"/>
                </a:solidFill>
                <a:prstDash val="solid"/>
              </a:ln>
              <a:solidFill>
                <a:schemeClr val="bg1"/>
              </a:solidFill>
              <a:effectLst>
                <a:outerShdw dist="38100" dir="2700000" algn="bl" rotWithShape="0">
                  <a:schemeClr val="accent5"/>
                </a:outerShdw>
              </a:effectLst>
              <a:latin typeface="Tw Cen MT" panose="020B0602020104020603" pitchFamily="34" charset="0"/>
              <a:ea typeface="Verdana" panose="020B0604030504040204" pitchFamily="34" charset="0"/>
              <a:cs typeface="+mn-cs"/>
            </a:rPr>
            <a:t>Gestione Kpi e confronto con il Budget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andro Pastore" refreshedDate="45412.779441319442" backgroundQuery="1" createdVersion="8" refreshedVersion="8" minRefreshableVersion="3" recordCount="24" xr:uid="{48C6FDF5-BF77-4BAA-8DA5-00FFCA979426}">
  <cacheSource type="external" connectionId="1"/>
  <cacheFields count="4">
    <cacheField name="Indicatore" numFmtId="0">
      <sharedItems count="3">
        <s v="Dipendenti"/>
        <s v="Vol/Dip"/>
        <s v="Vol"/>
      </sharedItems>
    </cacheField>
    <cacheField name="Data" numFmtId="0">
      <sharedItems containsSemiMixedTypes="0" containsNonDate="0" containsDate="1" containsString="0" minDate="2021-03-31T00:00:00" maxDate="2024-01-01T00:00:00" count="8">
        <d v="2023-03-31T00:00:00"/>
        <d v="2023-06-30T00:00:00"/>
        <d v="2023-09-30T00:00:00"/>
        <d v="2023-12-31T00:00:00"/>
        <d v="2021-03-31T00:00:00" u="1"/>
        <d v="2021-06-30T00:00:00" u="1"/>
        <d v="2021-09-30T00:00:00" u="1"/>
        <d v="2021-12-31T00:00:00" u="1"/>
      </sharedItems>
    </cacheField>
    <cacheField name="Valore" numFmtId="0">
      <sharedItems containsSemiMixedTypes="0" containsString="0" containsNumber="1" minValue="94.3" maxValue="120000" count="23">
        <n v="104"/>
        <n v="100"/>
        <n v="97.9"/>
        <n v="120"/>
        <n v="117.3"/>
        <n v="130"/>
        <n v="94.3"/>
        <n v="140"/>
        <n v="846.15384615384619"/>
        <n v="1000"/>
        <n v="1201.2257405515832"/>
        <n v="797.95396419437338"/>
        <n v="692.30769230769226"/>
        <n v="1213.1495227995758"/>
        <n v="785.71428571428567"/>
        <n v="88000"/>
        <n v="100000"/>
        <n v="117600"/>
        <n v="120000"/>
        <n v="93600"/>
        <n v="90000"/>
        <n v="114400"/>
        <n v="110000"/>
      </sharedItems>
    </cacheField>
    <cacheField name="Budget/Consuntivo" numFmtId="0">
      <sharedItems count="2">
        <s v="Consuntivo"/>
        <s v="Budget"/>
      </sharedItems>
    </cacheField>
  </cacheFields>
  <extLst>
    <ext xmlns:x14="http://schemas.microsoft.com/office/spreadsheetml/2009/9/main" uri="{725AE2AE-9491-48be-B2B4-4EB974FC3084}">
      <x14:pivotCacheDefinition pivotCacheId="69334482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x v="0"/>
  </r>
  <r>
    <x v="0"/>
    <x v="0"/>
    <x v="1"/>
    <x v="1"/>
  </r>
  <r>
    <x v="0"/>
    <x v="1"/>
    <x v="2"/>
    <x v="0"/>
  </r>
  <r>
    <x v="0"/>
    <x v="1"/>
    <x v="3"/>
    <x v="1"/>
  </r>
  <r>
    <x v="0"/>
    <x v="2"/>
    <x v="4"/>
    <x v="0"/>
  </r>
  <r>
    <x v="0"/>
    <x v="2"/>
    <x v="5"/>
    <x v="1"/>
  </r>
  <r>
    <x v="0"/>
    <x v="3"/>
    <x v="6"/>
    <x v="0"/>
  </r>
  <r>
    <x v="0"/>
    <x v="3"/>
    <x v="7"/>
    <x v="1"/>
  </r>
  <r>
    <x v="1"/>
    <x v="0"/>
    <x v="8"/>
    <x v="0"/>
  </r>
  <r>
    <x v="1"/>
    <x v="0"/>
    <x v="9"/>
    <x v="1"/>
  </r>
  <r>
    <x v="1"/>
    <x v="1"/>
    <x v="10"/>
    <x v="0"/>
  </r>
  <r>
    <x v="1"/>
    <x v="1"/>
    <x v="9"/>
    <x v="1"/>
  </r>
  <r>
    <x v="1"/>
    <x v="2"/>
    <x v="11"/>
    <x v="0"/>
  </r>
  <r>
    <x v="1"/>
    <x v="2"/>
    <x v="12"/>
    <x v="1"/>
  </r>
  <r>
    <x v="1"/>
    <x v="3"/>
    <x v="13"/>
    <x v="0"/>
  </r>
  <r>
    <x v="1"/>
    <x v="3"/>
    <x v="14"/>
    <x v="1"/>
  </r>
  <r>
    <x v="2"/>
    <x v="0"/>
    <x v="15"/>
    <x v="0"/>
  </r>
  <r>
    <x v="2"/>
    <x v="0"/>
    <x v="16"/>
    <x v="1"/>
  </r>
  <r>
    <x v="2"/>
    <x v="1"/>
    <x v="17"/>
    <x v="0"/>
  </r>
  <r>
    <x v="2"/>
    <x v="1"/>
    <x v="18"/>
    <x v="1"/>
  </r>
  <r>
    <x v="2"/>
    <x v="2"/>
    <x v="19"/>
    <x v="0"/>
  </r>
  <r>
    <x v="2"/>
    <x v="2"/>
    <x v="20"/>
    <x v="1"/>
  </r>
  <r>
    <x v="2"/>
    <x v="3"/>
    <x v="21"/>
    <x v="0"/>
  </r>
  <r>
    <x v="2"/>
    <x v="3"/>
    <x v="2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8F379-FE73-42A3-A790-875D8E7B520A}" name="Tabella pivot2" cacheId="0" applyNumberFormats="0" applyBorderFormats="0" applyFontFormats="0" applyPatternFormats="0" applyAlignmentFormats="0" applyWidthHeightFormats="1" dataCaption="Valori" grandTotalCaption="Media dei periodi" updatedVersion="8" minRefreshableVersion="3" useAutoFormatting="1" colGrandTotals="0" itemPrintTitles="1" mergeItem="1" createdVersion="8" indent="0" outline="1" outlineData="1" multipleFieldFilters="0" chartFormat="4" rowHeaderCaption="Data" colHeaderCaption="" fieldListSortAscending="1">
  <location ref="V28:X34" firstHeaderRow="1" firstDataRow="2" firstDataCol="1" rowPageCount="1" colPageCount="1"/>
  <pivotFields count="4">
    <pivotField axis="axisPage" multipleItemSelectionAllowed="1" showAll="0">
      <items count="4">
        <item x="0"/>
        <item h="1" x="2"/>
        <item h="1" x="1"/>
        <item t="default"/>
      </items>
    </pivotField>
    <pivotField axis="axisRow" showAll="0">
      <items count="9">
        <item m="1" x="4"/>
        <item m="1" x="5"/>
        <item m="1" x="6"/>
        <item m="1" x="7"/>
        <item x="0"/>
        <item x="1"/>
        <item x="2"/>
        <item x="3"/>
        <item t="default"/>
      </items>
    </pivotField>
    <pivotField dataField="1"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5">
    <i>
      <x v="4"/>
    </i>
    <i>
      <x v="5"/>
    </i>
    <i>
      <x v="6"/>
    </i>
    <i>
      <x v="7"/>
    </i>
    <i t="grand">
      <x/>
    </i>
  </rowItems>
  <colFields count="1">
    <field x="3"/>
  </colFields>
  <colItems count="2">
    <i>
      <x/>
    </i>
    <i>
      <x v="1"/>
    </i>
  </colItems>
  <pageFields count="1">
    <pageField fld="0" hier="-1"/>
  </pageFields>
  <dataFields count="1">
    <dataField name="Val" fld="2" subtotal="average" baseField="1" baseItem="0"/>
  </dataFields>
  <formats count="18">
    <format dxfId="38">
      <pivotArea type="all" dataOnly="0" outline="0" fieldPosition="0"/>
    </format>
    <format dxfId="37">
      <pivotArea outline="0" collapsedLevelsAreSubtotals="1" fieldPosition="0"/>
    </format>
    <format dxfId="36">
      <pivotArea type="origin" dataOnly="0" labelOnly="1" outline="0" fieldPosition="0"/>
    </format>
    <format dxfId="35">
      <pivotArea field="3" type="button" dataOnly="0" labelOnly="1" outline="0" axis="axisCol" fieldPosition="0"/>
    </format>
    <format dxfId="34">
      <pivotArea type="topRight" dataOnly="0" labelOnly="1" outline="0" fieldPosition="0"/>
    </format>
    <format dxfId="33">
      <pivotArea field="1" type="button" dataOnly="0" labelOnly="1" outline="0" axis="axisRow" fieldPosition="0"/>
    </format>
    <format dxfId="32">
      <pivotArea dataOnly="0" labelOnly="1" fieldPosition="0">
        <references count="1">
          <reference field="1" count="0"/>
        </references>
      </pivotArea>
    </format>
    <format dxfId="31">
      <pivotArea dataOnly="0" labelOnly="1" grandRow="1" outline="0" fieldPosition="0"/>
    </format>
    <format dxfId="30">
      <pivotArea dataOnly="0" labelOnly="1" fieldPosition="0">
        <references count="1">
          <reference field="3" count="0"/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field="3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grandRow="1" outline="0" fieldPosition="0"/>
    </format>
    <format dxfId="21">
      <pivotArea dataOnly="0" labelOnly="1" fieldPosition="0">
        <references count="1">
          <reference field="3" count="0"/>
        </references>
      </pivotArea>
    </format>
  </format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9AC93C-4F15-4900-B376-51667DE505A5}" name="Tabella pivot1" cacheId="0" applyNumberFormats="0" applyBorderFormats="0" applyFontFormats="0" applyPatternFormats="0" applyAlignmentFormats="0" applyWidthHeightFormats="1" dataCaption="Valori" grandTotalCaption="Media dei periodi" updatedVersion="8" minRefreshableVersion="3" useAutoFormatting="1" colGrandTotals="0" itemPrintTitles="1" mergeItem="1" createdVersion="8" indent="0" outline="1" outlineData="1" multipleFieldFilters="0" rowHeaderCaption="Data" colHeaderCaption="" fieldListSortAscending="1">
  <location ref="B28:H35" firstHeaderRow="1" firstDataRow="3" firstDataCol="1" rowPageCount="1" colPageCount="1"/>
  <pivotFields count="4">
    <pivotField axis="axisPage" multipleItemSelectionAllowed="1" showAll="0">
      <items count="4">
        <item x="0"/>
        <item h="1" x="2"/>
        <item h="1" x="1"/>
        <item t="default"/>
      </items>
    </pivotField>
    <pivotField axis="axisRow" showAll="0">
      <items count="9">
        <item m="1" x="4"/>
        <item m="1" x="5"/>
        <item m="1" x="6"/>
        <item m="1" x="7"/>
        <item x="0"/>
        <item x="1"/>
        <item x="2"/>
        <item x="3"/>
        <item t="default"/>
      </items>
    </pivotField>
    <pivotField dataField="1"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5">
    <i>
      <x v="4"/>
    </i>
    <i>
      <x v="5"/>
    </i>
    <i>
      <x v="6"/>
    </i>
    <i>
      <x v="7"/>
    </i>
    <i t="grand">
      <x/>
    </i>
  </rowItems>
  <colFields count="2">
    <field x="3"/>
    <field x="-2"/>
  </colFields>
  <colItems count="6">
    <i>
      <x/>
      <x/>
    </i>
    <i r="1" i="1">
      <x v="1"/>
    </i>
    <i r="1" i="2">
      <x v="2"/>
    </i>
    <i>
      <x v="1"/>
      <x/>
    </i>
    <i r="1" i="1">
      <x v="1"/>
    </i>
    <i r="1" i="2">
      <x v="2"/>
    </i>
  </colItems>
  <pageFields count="1">
    <pageField fld="0" hier="-1"/>
  </pageFields>
  <dataFields count="3">
    <dataField name="Val" fld="2" subtotal="average" baseField="1" baseItem="0"/>
    <dataField name="∆" fld="2" subtotal="average" showDataAs="difference" baseField="3" baseItem="0" numFmtId="4"/>
    <dataField name="∆%" fld="2" showDataAs="percentDiff" baseField="3" baseItem="0" numFmtId="10"/>
  </dataFields>
  <formats count="35">
    <format dxfId="73">
      <pivotArea dataOnly="0" outline="0" fieldPosition="0">
        <references count="1">
          <reference field="4294967294" count="1">
            <x v="1"/>
          </reference>
        </references>
      </pivotArea>
    </format>
    <format dxfId="72">
      <pivotArea dataOnly="0" labelOnly="1" outline="0" fieldPosition="0">
        <references count="2">
          <reference field="4294967294" count="1">
            <x v="2"/>
          </reference>
          <reference field="3" count="1" selected="0">
            <x v="1"/>
          </reference>
        </references>
      </pivotArea>
    </format>
    <format dxfId="71">
      <pivotArea outline="0" fieldPosition="0">
        <references count="1">
          <reference field="4294967294" count="1">
            <x v="2"/>
          </reference>
        </references>
      </pivotArea>
    </format>
    <format dxfId="70">
      <pivotArea type="all" dataOnly="0" outline="0" fieldPosition="0"/>
    </format>
    <format dxfId="69">
      <pivotArea type="all" dataOnly="0" outline="0" fieldPosition="0"/>
    </format>
    <format dxfId="68">
      <pivotArea dataOnly="0" outline="0" fieldPosition="0">
        <references count="1">
          <reference field="4294967294" count="1">
            <x v="2"/>
          </reference>
        </references>
      </pivotArea>
    </format>
    <format dxfId="67">
      <pivotArea dataOnly="0" outline="0" fieldPosition="0">
        <references count="1">
          <reference field="4294967294" count="1">
            <x v="1"/>
          </reference>
        </references>
      </pivotArea>
    </format>
    <format dxfId="66">
      <pivotArea dataOnly="0" labelOnly="1" outline="0" fieldPosition="0">
        <references count="2">
          <reference field="4294967294" count="1">
            <x v="1"/>
          </reference>
          <reference field="3" count="1" selected="0">
            <x v="1"/>
          </reference>
        </references>
      </pivotArea>
    </format>
    <format dxfId="65">
      <pivotArea outline="0" fieldPosition="0">
        <references count="1">
          <reference field="4294967294" count="1">
            <x v="1"/>
          </reference>
        </references>
      </pivotArea>
    </format>
    <format dxfId="64">
      <pivotArea collapsedLevelsAreSubtotals="1" fieldPosition="0">
        <references count="3">
          <reference field="4294967294" count="3" selected="0">
            <x v="0"/>
            <x v="1"/>
            <x v="2"/>
          </reference>
          <reference field="1" count="0"/>
          <reference field="3" count="1" selected="0">
            <x v="0"/>
          </reference>
        </references>
      </pivotArea>
    </format>
    <format dxfId="63">
      <pivotArea collapsedLevelsAreSubtotals="1" fieldPosition="0">
        <references count="3">
          <reference field="4294967294" count="2" selected="0">
            <x v="0"/>
            <x v="1"/>
          </reference>
          <reference field="1" count="0"/>
          <reference field="3" count="1" selected="0">
            <x v="1"/>
          </reference>
        </references>
      </pivotArea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type="origin" dataOnly="0" labelOnly="1" outline="0" fieldPosition="0"/>
    </format>
    <format dxfId="59">
      <pivotArea field="3" type="button" dataOnly="0" labelOnly="1" outline="0" axis="axisCol" fieldPosition="0"/>
    </format>
    <format dxfId="58">
      <pivotArea field="-2" type="button" dataOnly="0" labelOnly="1" outline="0" axis="axisCol" fieldPosition="1"/>
    </format>
    <format dxfId="57">
      <pivotArea type="topRight" dataOnly="0" labelOnly="1" outline="0" fieldPosition="0"/>
    </format>
    <format dxfId="56">
      <pivotArea field="1" type="button" dataOnly="0" labelOnly="1" outline="0" axis="axisRow" fieldPosition="0"/>
    </format>
    <format dxfId="55">
      <pivotArea dataOnly="0" labelOnly="1" fieldPosition="0">
        <references count="1">
          <reference field="1" count="0"/>
        </references>
      </pivotArea>
    </format>
    <format dxfId="54">
      <pivotArea dataOnly="0" labelOnly="1" grandRow="1" outline="0" fieldPosition="0"/>
    </format>
    <format dxfId="53">
      <pivotArea dataOnly="0" labelOnly="1" fieldPosition="0">
        <references count="1">
          <reference field="3" count="0"/>
        </references>
      </pivotArea>
    </format>
    <format dxfId="5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3" count="1" selected="0">
            <x v="0"/>
          </reference>
        </references>
      </pivotArea>
    </format>
    <format dxfId="5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3" count="1" selected="0">
            <x v="1"/>
          </reference>
        </references>
      </pivotArea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type="origin" dataOnly="0" labelOnly="1" outline="0" fieldPosition="0"/>
    </format>
    <format dxfId="47">
      <pivotArea field="3" type="button" dataOnly="0" labelOnly="1" outline="0" axis="axisCol" fieldPosition="0"/>
    </format>
    <format dxfId="46">
      <pivotArea field="-2" type="button" dataOnly="0" labelOnly="1" outline="0" axis="axisCol" fieldPosition="1"/>
    </format>
    <format dxfId="45">
      <pivotArea type="topRight" dataOnly="0" labelOnly="1" outline="0" fieldPosition="0"/>
    </format>
    <format dxfId="44">
      <pivotArea field="1" type="button" dataOnly="0" labelOnly="1" outline="0" axis="axisRow" fieldPosition="0"/>
    </format>
    <format dxfId="43">
      <pivotArea dataOnly="0" labelOnly="1" fieldPosition="0">
        <references count="1">
          <reference field="1" count="0"/>
        </references>
      </pivotArea>
    </format>
    <format dxfId="42">
      <pivotArea dataOnly="0" labelOnly="1" grandRow="1" outline="0" fieldPosition="0"/>
    </format>
    <format dxfId="41">
      <pivotArea dataOnly="0" labelOnly="1" fieldPosition="0">
        <references count="1">
          <reference field="3" count="0"/>
        </references>
      </pivotArea>
    </format>
    <format dxfId="4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3" count="1" selected="0">
            <x v="0"/>
          </reference>
        </references>
      </pivotArea>
    </format>
    <format dxfId="3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3" count="1" selected="0">
            <x v="1"/>
          </reference>
        </references>
      </pivotArea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D6152E-E5D2-4570-9A38-A4A0986B5E2F}" name="Tabella pivot6" cacheId="0" applyNumberFormats="0" applyBorderFormats="0" applyFontFormats="0" applyPatternFormats="0" applyAlignmentFormats="0" applyWidthHeightFormats="1" dataCaption="Valori" grandTotalCaption="Media dei periodi" updatedVersion="8" minRefreshableVersion="3" useAutoFormatting="1" colGrandTotals="0" itemPrintTitles="1" mergeItem="1" createdVersion="8" indent="0" outline="1" outlineData="1" multipleFieldFilters="0" chartFormat="7" rowHeaderCaption="Data" colHeaderCaption="">
  <location ref="AA28:AC45" firstHeaderRow="1" firstDataRow="2" firstDataCol="1"/>
  <pivotFields count="4">
    <pivotField axis="axisRow" multipleItemSelectionAllowed="1" showAll="0">
      <items count="4">
        <item x="0"/>
        <item x="2"/>
        <item x="1"/>
        <item t="default"/>
      </items>
    </pivotField>
    <pivotField axis="axisRow" showAll="0">
      <items count="9">
        <item m="1" x="4"/>
        <item m="1" x="5"/>
        <item m="1" x="6"/>
        <item m="1" x="7"/>
        <item x="0"/>
        <item x="1"/>
        <item x="2"/>
        <item x="3"/>
        <item t="default"/>
      </items>
    </pivotField>
    <pivotField dataField="1" showAll="0"/>
    <pivotField axis="axisCol" showAll="0">
      <items count="3">
        <item x="1"/>
        <item x="0"/>
        <item t="default"/>
      </items>
    </pivotField>
  </pivotFields>
  <rowFields count="2">
    <field x="0"/>
    <field x="1"/>
  </rowFields>
  <rowItems count="16">
    <i>
      <x/>
    </i>
    <i r="1">
      <x v="4"/>
    </i>
    <i r="1">
      <x v="5"/>
    </i>
    <i r="1">
      <x v="6"/>
    </i>
    <i r="1">
      <x v="7"/>
    </i>
    <i>
      <x v="1"/>
    </i>
    <i r="1">
      <x v="4"/>
    </i>
    <i r="1">
      <x v="5"/>
    </i>
    <i r="1">
      <x v="6"/>
    </i>
    <i r="1">
      <x v="7"/>
    </i>
    <i>
      <x v="2"/>
    </i>
    <i r="1">
      <x v="4"/>
    </i>
    <i r="1">
      <x v="5"/>
    </i>
    <i r="1">
      <x v="6"/>
    </i>
    <i r="1">
      <x v="7"/>
    </i>
    <i t="grand">
      <x/>
    </i>
  </rowItems>
  <colFields count="1">
    <field x="3"/>
  </colFields>
  <colItems count="2">
    <i>
      <x/>
    </i>
    <i>
      <x v="1"/>
    </i>
  </colItems>
  <dataFields count="1">
    <dataField name="∆%" fld="2" showDataAs="percentDiff" baseField="3" baseItem="0" numFmtId="10"/>
  </dataFields>
  <formats count="27">
    <format dxfId="10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"/>
          </reference>
        </references>
      </pivotArea>
    </format>
    <format dxfId="99">
      <pivotArea outline="0" fieldPosition="0">
        <references count="1">
          <reference field="4294967294" count="1">
            <x v="0"/>
          </reference>
        </references>
      </pivotArea>
    </format>
    <format dxfId="98">
      <pivotArea dataOnly="0" outline="0" fieldPosition="0">
        <references count="1">
          <reference field="4294967294" count="1">
            <x v="0"/>
          </reference>
        </references>
      </pivotArea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type="origin" dataOnly="0" labelOnly="1" outline="0" fieldPosition="0"/>
    </format>
    <format dxfId="94">
      <pivotArea field="3" type="button" dataOnly="0" labelOnly="1" outline="0" axis="axisCol" fieldPosition="0"/>
    </format>
    <format dxfId="93">
      <pivotArea type="topRight" dataOnly="0" labelOnly="1" outline="0" fieldPosition="0"/>
    </format>
    <format dxfId="92">
      <pivotArea field="0" type="button" dataOnly="0" labelOnly="1" outline="0" axis="axisRow" fieldPosition="0"/>
    </format>
    <format dxfId="91">
      <pivotArea dataOnly="0" labelOnly="1" fieldPosition="0">
        <references count="1">
          <reference field="0" count="0"/>
        </references>
      </pivotArea>
    </format>
    <format dxfId="90">
      <pivotArea dataOnly="0" labelOnly="1" grandRow="1" outline="0" fieldPosition="0"/>
    </format>
    <format dxfId="89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88">
      <pivotArea dataOnly="0" labelOnly="1" fieldPosition="0">
        <references count="2">
          <reference field="0" count="1" selected="0">
            <x v="1"/>
          </reference>
          <reference field="1" count="0"/>
        </references>
      </pivotArea>
    </format>
    <format dxfId="87">
      <pivotArea dataOnly="0" labelOnly="1" fieldPosition="0">
        <references count="2">
          <reference field="0" count="1" selected="0">
            <x v="2"/>
          </reference>
          <reference field="1" count="0"/>
        </references>
      </pivotArea>
    </format>
    <format dxfId="86">
      <pivotArea dataOnly="0" labelOnly="1" fieldPosition="0">
        <references count="1">
          <reference field="3" count="0"/>
        </references>
      </pivotArea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type="origin" dataOnly="0" labelOnly="1" outline="0" fieldPosition="0"/>
    </format>
    <format dxfId="82">
      <pivotArea field="3" type="button" dataOnly="0" labelOnly="1" outline="0" axis="axisCol" fieldPosition="0"/>
    </format>
    <format dxfId="81">
      <pivotArea type="topRight" dataOnly="0" labelOnly="1" outline="0" fieldPosition="0"/>
    </format>
    <format dxfId="80">
      <pivotArea field="0" type="button" dataOnly="0" labelOnly="1" outline="0" axis="axisRow" fieldPosition="0"/>
    </format>
    <format dxfId="79">
      <pivotArea dataOnly="0" labelOnly="1" fieldPosition="0">
        <references count="1">
          <reference field="0" count="0"/>
        </references>
      </pivotArea>
    </format>
    <format dxfId="78">
      <pivotArea dataOnly="0" labelOnly="1" grandRow="1" outline="0" fieldPosition="0"/>
    </format>
    <format dxfId="77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76">
      <pivotArea dataOnly="0" labelOnly="1" fieldPosition="0">
        <references count="2">
          <reference field="0" count="1" selected="0">
            <x v="1"/>
          </reference>
          <reference field="1" count="0"/>
        </references>
      </pivotArea>
    </format>
    <format dxfId="75">
      <pivotArea dataOnly="0" labelOnly="1" fieldPosition="0">
        <references count="2">
          <reference field="0" count="1" selected="0">
            <x v="2"/>
          </reference>
          <reference field="1" count="0"/>
        </references>
      </pivotArea>
    </format>
    <format dxfId="74">
      <pivotArea dataOnly="0" labelOnly="1" fieldPosition="0">
        <references count="1">
          <reference field="3" count="0"/>
        </references>
      </pivotArea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Indicatore" xr10:uid="{E5B5B7D8-56C7-46BA-A65B-7A5CFE47FA1F}" sourceName="Indicatore">
  <pivotTables>
    <pivotTable tabId="4" name="Tabella pivot1"/>
    <pivotTable tabId="4" name="Tabella pivot2"/>
  </pivotTables>
  <data>
    <tabular pivotCacheId="693344825">
      <items count="3">
        <i x="0" s="1"/>
        <i x="2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ndicatore" xr10:uid="{E09A90AA-3B75-4B07-A2F1-1D95B90732BA}" cache="FiltroDati_Indicatore" caption="Indicatore" style="SlicerStyleOther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BFA710-BFA6-44BE-B720-AD244A090DEF}" name="DatiExtra" displayName="DatiExtra" ref="D5:L61" totalsRowShown="0" headerRowDxfId="119" dataDxfId="118">
  <autoFilter ref="D5:L61" xr:uid="{3E9F1CE1-0787-4727-8A80-6016BE44AB3A}"/>
  <tableColumns count="9">
    <tableColumn id="1" xr3:uid="{A4C64DF4-37E9-4B0F-85FB-F1CB30EF645C}" name="Cod Fattore" dataDxfId="117"/>
    <tableColumn id="2" xr3:uid="{521EDBEE-D7B3-4A3B-9172-FCDB97055A23}" name="Descrizione" dataDxfId="116">
      <calculatedColumnFormula>+IF(DatiExtra[[#This Row],[Cod Fattore]]="","",VLOOKUP(DatiExtra[[#This Row],[Cod Fattore]],ElencoKPI[],2,0))</calculatedColumnFormula>
    </tableColumn>
    <tableColumn id="3" xr3:uid="{EE2D3985-03CB-483B-9D52-C19D98D1176D}" name="Valore del Periodo" dataDxfId="115" dataCellStyle="Migliaia"/>
    <tableColumn id="4" xr3:uid="{2EED9CD4-9E2A-4505-A63A-21D1241866B4}" name="Data" dataDxfId="114"/>
    <tableColumn id="6" xr3:uid="{6553496B-11BC-4708-AD09-B03619091DA2}" name="Budget" dataDxfId="113"/>
    <tableColumn id="7" xr3:uid="{3FBDFA70-D042-4C3F-A876-DDA767588C1D}" name="Fonte" dataDxfId="112">
      <calculatedColumnFormula>+IF(DatiExtra[[#This Row],[Budget]],"Budget","Consuntivo")</calculatedColumnFormula>
    </tableColumn>
    <tableColumn id="5" xr3:uid="{D0A47CB7-DC48-48AE-9757-2BE4F28F2156}" name="ND" dataDxfId="111">
      <calculatedColumnFormula>+(COUNTIF($G$5:G6,DatiExtra[[#This Row],[Data]])=1)*1</calculatedColumnFormula>
    </tableColumn>
    <tableColumn id="8" xr3:uid="{96C4EBAA-8ED8-4777-9AE1-0648266B7B5E}" name="NDPRG" dataDxfId="110">
      <calculatedColumnFormula>+SUM($J$5:J6)*(DatiExtra[[#This Row],[ND]]=1)</calculatedColumnFormula>
    </tableColumn>
    <tableColumn id="9" xr3:uid="{BA57E84C-696C-4276-ACAE-BAE75229D0E6}" name="Ndata" dataDxfId="109">
      <calculatedColumnFormula>+IF(DatiExtra[[#This Row],[NDPRG]]&gt;0,DatiExtra[[#This Row],[Data]],"")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AC3440-29BF-439D-B8D0-7415E6096B45}" name="ElencoKPI" displayName="ElencoKPI" ref="A5:B12" totalsRowShown="0" headerRowDxfId="108" dataDxfId="107">
  <autoFilter ref="A5:B12" xr:uid="{58BE3791-0AEC-4DEB-B25E-C01C995C108C}"/>
  <tableColumns count="2">
    <tableColumn id="1" xr3:uid="{7BF42E49-D0AC-4BC9-9066-FC4C1496932A}" name="Cod Fattore" dataDxfId="106"/>
    <tableColumn id="2" xr3:uid="{2009253B-3769-4048-96B8-039172C6CDAE}" name="Descrizione" dataDxfId="10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6FB0C9-80C8-491F-A4A9-F020E27BC20F}" name="Tabella3" displayName="Tabella3" ref="AI5:AJ70" totalsRowShown="0" headerRowDxfId="104" dataDxfId="103">
  <autoFilter ref="AI5:AJ70" xr:uid="{4573AD98-209D-4A6F-A1AD-FFFD3C5E5FFD}"/>
  <tableColumns count="2">
    <tableColumn id="1" xr3:uid="{813FE411-0235-4403-ACD5-A8678E122CBE}" name="IdData" dataDxfId="102">
      <calculatedColumnFormula>+IF(OR(AI5=0,AI5+1&gt;MAX(DatiExtra[NDPRG])),0,AI5+1)</calculatedColumnFormula>
    </tableColumn>
    <tableColumn id="2" xr3:uid="{B7B4692D-84F8-42C7-8003-17FE5438DB26}" name="Data" dataDxfId="101">
      <calculatedColumnFormula>+IF(AI6&gt;0,VLOOKUP(AI6,DatiExtra[[NDPRG]:[Ndata]],2,0),"")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A9E61-E084-4B89-B566-B78528360708}">
  <sheetPr codeName="Foglio1">
    <tabColor theme="3"/>
    <pageSetUpPr fitToPage="1"/>
  </sheetPr>
  <dimension ref="A1:AM70"/>
  <sheetViews>
    <sheetView showGridLines="0" showZeros="0" tabSelected="1" zoomScale="90" zoomScaleNormal="90" workbookViewId="0">
      <selection activeCell="B15" sqref="B15"/>
    </sheetView>
  </sheetViews>
  <sheetFormatPr defaultColWidth="0" defaultRowHeight="14.25" x14ac:dyDescent="0.2"/>
  <cols>
    <col min="1" max="1" width="21.42578125" style="3" bestFit="1" customWidth="1"/>
    <col min="2" max="2" width="20.140625" style="3" bestFit="1" customWidth="1"/>
    <col min="3" max="3" width="9.28515625" style="3" customWidth="1"/>
    <col min="4" max="4" width="16.7109375" style="3" customWidth="1"/>
    <col min="5" max="5" width="15.7109375" style="3" customWidth="1"/>
    <col min="6" max="6" width="19.7109375" style="3" customWidth="1"/>
    <col min="7" max="7" width="14.140625" style="3" customWidth="1"/>
    <col min="8" max="8" width="12.42578125" style="3" customWidth="1"/>
    <col min="9" max="9" width="12.5703125" style="3" customWidth="1"/>
    <col min="10" max="10" width="6.140625" style="3" hidden="1" customWidth="1"/>
    <col min="11" max="11" width="9.42578125" style="3" hidden="1" customWidth="1"/>
    <col min="12" max="12" width="9.7109375" style="3" hidden="1" customWidth="1"/>
    <col min="13" max="13" width="9.7109375" style="3" customWidth="1"/>
    <col min="14" max="14" width="3.7109375" style="3" customWidth="1"/>
    <col min="15" max="15" width="13.85546875" style="8" customWidth="1"/>
    <col min="16" max="16" width="15.28515625" style="8" customWidth="1"/>
    <col min="17" max="18" width="13.85546875" style="8" customWidth="1"/>
    <col min="19" max="19" width="13.85546875" style="3" customWidth="1"/>
    <col min="20" max="20" width="13.85546875" style="8" customWidth="1"/>
    <col min="21" max="32" width="13.85546875" style="3" customWidth="1"/>
    <col min="33" max="33" width="10.7109375" style="3" hidden="1" customWidth="1"/>
    <col min="34" max="34" width="14.140625" style="3" hidden="1" customWidth="1"/>
    <col min="35" max="35" width="9" style="3" hidden="1" customWidth="1"/>
    <col min="36" max="36" width="10.42578125" style="3" hidden="1" customWidth="1"/>
    <col min="37" max="37" width="9.28515625" style="3" hidden="1" customWidth="1"/>
    <col min="38" max="39" width="11.85546875" style="3" hidden="1" customWidth="1"/>
    <col min="40" max="16384" width="9.28515625" style="3" hidden="1"/>
  </cols>
  <sheetData>
    <row r="1" spans="1:39" ht="86.2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5"/>
    </row>
    <row r="2" spans="1:39" ht="15.75" customHeight="1" x14ac:dyDescent="0.2">
      <c r="A2" s="56" t="s">
        <v>50</v>
      </c>
      <c r="B2" s="56"/>
      <c r="C2" s="56"/>
      <c r="D2" s="56"/>
      <c r="E2" s="56"/>
      <c r="F2" s="56"/>
      <c r="G2" s="56"/>
      <c r="H2" s="5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2">
        <f>+U4</f>
        <v>45016</v>
      </c>
      <c r="V2" s="32">
        <f>+U4</f>
        <v>45016</v>
      </c>
      <c r="W2" s="2"/>
      <c r="X2" s="32">
        <f>+X4</f>
        <v>45107</v>
      </c>
      <c r="Y2" s="32">
        <f>+X4</f>
        <v>45107</v>
      </c>
      <c r="Z2" s="2"/>
      <c r="AA2" s="32">
        <f>+AA4</f>
        <v>45199</v>
      </c>
      <c r="AB2" s="32">
        <f>+AA4</f>
        <v>45199</v>
      </c>
      <c r="AC2" s="2"/>
      <c r="AD2" s="32">
        <f>+AD4</f>
        <v>45291</v>
      </c>
      <c r="AE2" s="32">
        <f>+AD4</f>
        <v>45291</v>
      </c>
      <c r="AF2" s="2"/>
      <c r="AG2" s="35"/>
    </row>
    <row r="3" spans="1:39" ht="14.25" customHeight="1" x14ac:dyDescent="0.2">
      <c r="A3" s="56"/>
      <c r="B3" s="56"/>
      <c r="C3" s="56"/>
      <c r="D3" s="56"/>
      <c r="E3" s="56"/>
      <c r="F3" s="56"/>
      <c r="G3" s="56"/>
      <c r="H3" s="5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9"/>
      <c r="W3" s="9"/>
      <c r="X3" s="2"/>
      <c r="Y3" s="9"/>
      <c r="Z3" s="9"/>
      <c r="AA3" s="2"/>
      <c r="AB3" s="9"/>
      <c r="AC3" s="9"/>
      <c r="AD3" s="2"/>
      <c r="AE3" s="9"/>
      <c r="AF3" s="9"/>
      <c r="AG3" s="35"/>
    </row>
    <row r="4" spans="1:39" x14ac:dyDescent="0.2">
      <c r="A4" s="10" t="s">
        <v>34</v>
      </c>
      <c r="D4" s="10" t="s">
        <v>35</v>
      </c>
      <c r="O4" s="10" t="s">
        <v>27</v>
      </c>
      <c r="P4" s="3"/>
      <c r="Q4" s="3"/>
      <c r="R4" s="3"/>
      <c r="T4" s="3"/>
      <c r="U4" s="53">
        <v>45016</v>
      </c>
      <c r="V4" s="54"/>
      <c r="W4" s="55"/>
      <c r="X4" s="53">
        <v>45107</v>
      </c>
      <c r="Y4" s="54"/>
      <c r="Z4" s="55"/>
      <c r="AA4" s="53">
        <v>45199</v>
      </c>
      <c r="AB4" s="54"/>
      <c r="AC4" s="55"/>
      <c r="AD4" s="53">
        <v>45291</v>
      </c>
      <c r="AE4" s="54"/>
      <c r="AF4" s="55"/>
      <c r="AH4" s="3">
        <f>SUMIFS(DatiExtra[Valore del Periodo],DatiExtra[Cod Fattore],KPI!$P7,DatiExtra[Fonte],KPI!U$5,DatiExtra[Data],KPI!U$2)</f>
        <v>104</v>
      </c>
    </row>
    <row r="5" spans="1:39" s="4" customFormat="1" ht="31.5" customHeight="1" x14ac:dyDescent="0.2">
      <c r="A5" s="33" t="s">
        <v>36</v>
      </c>
      <c r="B5" s="33" t="s">
        <v>0</v>
      </c>
      <c r="D5" s="33" t="s">
        <v>36</v>
      </c>
      <c r="E5" s="11" t="s">
        <v>0</v>
      </c>
      <c r="F5" s="33" t="s">
        <v>1</v>
      </c>
      <c r="G5" s="33" t="s">
        <v>2</v>
      </c>
      <c r="H5" s="33" t="s">
        <v>3</v>
      </c>
      <c r="I5" s="1" t="s">
        <v>25</v>
      </c>
      <c r="J5" s="1" t="s">
        <v>28</v>
      </c>
      <c r="K5" s="1" t="s">
        <v>29</v>
      </c>
      <c r="L5" s="1" t="s">
        <v>30</v>
      </c>
      <c r="M5" s="1"/>
      <c r="O5" s="34" t="s">
        <v>26</v>
      </c>
      <c r="P5" s="34" t="s">
        <v>37</v>
      </c>
      <c r="Q5" s="34" t="s">
        <v>4</v>
      </c>
      <c r="R5" s="34" t="s">
        <v>38</v>
      </c>
      <c r="S5" s="12" t="s">
        <v>5</v>
      </c>
      <c r="T5" s="34" t="s">
        <v>6</v>
      </c>
      <c r="U5" s="12" t="s">
        <v>23</v>
      </c>
      <c r="V5" s="12" t="s">
        <v>3</v>
      </c>
      <c r="W5" s="12" t="s">
        <v>24</v>
      </c>
      <c r="X5" s="12" t="s">
        <v>23</v>
      </c>
      <c r="Y5" s="12" t="s">
        <v>3</v>
      </c>
      <c r="Z5" s="12" t="s">
        <v>24</v>
      </c>
      <c r="AA5" s="12" t="s">
        <v>23</v>
      </c>
      <c r="AB5" s="12" t="s">
        <v>3</v>
      </c>
      <c r="AC5" s="12" t="s">
        <v>24</v>
      </c>
      <c r="AD5" s="12" t="s">
        <v>23</v>
      </c>
      <c r="AE5" s="12" t="s">
        <v>3</v>
      </c>
      <c r="AF5" s="12" t="s">
        <v>24</v>
      </c>
      <c r="AI5" s="5" t="s">
        <v>31</v>
      </c>
      <c r="AJ5" s="5" t="s">
        <v>2</v>
      </c>
    </row>
    <row r="6" spans="1:39" x14ac:dyDescent="0.2">
      <c r="A6" s="8" t="s">
        <v>7</v>
      </c>
      <c r="B6" s="8" t="s">
        <v>8</v>
      </c>
      <c r="D6" s="8" t="s">
        <v>7</v>
      </c>
      <c r="E6" s="13" t="str">
        <f>+IF(DatiExtra[[#This Row],[Cod Fattore]]="","",VLOOKUP(DatiExtra[[#This Row],[Cod Fattore]],ElencoKPI[],2,0))</f>
        <v>Dipendenti</v>
      </c>
      <c r="F6" s="14">
        <v>100</v>
      </c>
      <c r="G6" s="15">
        <v>45016</v>
      </c>
      <c r="H6" s="8" t="b">
        <v>1</v>
      </c>
      <c r="I6" s="13" t="str">
        <f>+IF(DatiExtra[[#This Row],[Budget]],"Budget","Consuntivo")</f>
        <v>Budget</v>
      </c>
      <c r="J6" s="3">
        <f>+(COUNTIF($G$5:G6,DatiExtra[[#This Row],[Data]])=1)*1</f>
        <v>1</v>
      </c>
      <c r="K6" s="3">
        <f>+SUM($J$5:J6)*(DatiExtra[[#This Row],[ND]]=1)</f>
        <v>1</v>
      </c>
      <c r="L6" s="6">
        <f>+IF(DatiExtra[[#This Row],[NDPRG]]&gt;0,DatiExtra[[#This Row],[Data]],"")</f>
        <v>45016</v>
      </c>
      <c r="M6" s="10"/>
      <c r="N6" s="4"/>
      <c r="O6" s="16"/>
      <c r="P6" s="16"/>
      <c r="Q6" s="16"/>
      <c r="R6" s="16"/>
      <c r="S6" s="17"/>
      <c r="T6" s="16"/>
      <c r="U6" s="18">
        <f>+U4</f>
        <v>45016</v>
      </c>
      <c r="V6" s="18">
        <f>+U6</f>
        <v>45016</v>
      </c>
      <c r="W6" s="18">
        <f>+V6</f>
        <v>45016</v>
      </c>
      <c r="X6" s="18">
        <f t="shared" ref="X6:AD6" si="0">+X4</f>
        <v>45107</v>
      </c>
      <c r="Y6" s="18">
        <f>+X6</f>
        <v>45107</v>
      </c>
      <c r="Z6" s="18">
        <f>+Y6</f>
        <v>45107</v>
      </c>
      <c r="AA6" s="18">
        <f t="shared" si="0"/>
        <v>45199</v>
      </c>
      <c r="AB6" s="18">
        <f>+AA6</f>
        <v>45199</v>
      </c>
      <c r="AC6" s="18">
        <f>+AB6</f>
        <v>45199</v>
      </c>
      <c r="AD6" s="18">
        <f t="shared" si="0"/>
        <v>45291</v>
      </c>
      <c r="AE6" s="18">
        <f>+AD6</f>
        <v>45291</v>
      </c>
      <c r="AF6" s="18">
        <f>+AE6</f>
        <v>45291</v>
      </c>
      <c r="AI6" s="3">
        <v>1</v>
      </c>
      <c r="AJ6" s="6">
        <f>+IF(AI6&gt;0,VLOOKUP(AI6,DatiExtra[[NDPRG]:[Ndata]],2,0),"")</f>
        <v>45016</v>
      </c>
      <c r="AL6" s="6"/>
      <c r="AM6" s="6"/>
    </row>
    <row r="7" spans="1:39" x14ac:dyDescent="0.2">
      <c r="A7" s="8" t="s">
        <v>9</v>
      </c>
      <c r="B7" s="8" t="s">
        <v>10</v>
      </c>
      <c r="D7" s="8" t="s">
        <v>7</v>
      </c>
      <c r="E7" s="13" t="str">
        <f>+IF(DatiExtra[[#This Row],[Cod Fattore]]="","",VLOOKUP(DatiExtra[[#This Row],[Cod Fattore]],ElencoKPI[],2,0))</f>
        <v>Dipendenti</v>
      </c>
      <c r="F7" s="14">
        <v>120</v>
      </c>
      <c r="G7" s="15">
        <v>45107</v>
      </c>
      <c r="H7" s="8" t="b">
        <v>1</v>
      </c>
      <c r="I7" s="13" t="str">
        <f>+IF(DatiExtra[[#This Row],[Budget]],"Budget","Consuntivo")</f>
        <v>Budget</v>
      </c>
      <c r="J7" s="3">
        <f>+(COUNTIF($G$5:G7,DatiExtra[[#This Row],[Data]])=1)*1</f>
        <v>1</v>
      </c>
      <c r="K7" s="3">
        <f>+SUM($J$5:J7)*(DatiExtra[[#This Row],[ND]]=1)</f>
        <v>2</v>
      </c>
      <c r="L7" s="6">
        <f>+IF(DatiExtra[[#This Row],[NDPRG]]&gt;0,DatiExtra[[#This Row],[Data]],"")</f>
        <v>45107</v>
      </c>
      <c r="M7" s="50"/>
      <c r="N7" s="19">
        <v>1</v>
      </c>
      <c r="O7" s="20" t="s">
        <v>8</v>
      </c>
      <c r="P7" s="21" t="s">
        <v>7</v>
      </c>
      <c r="Q7" s="22"/>
      <c r="R7" s="21"/>
      <c r="S7" s="23" t="str">
        <f>+P7&amp;Q7&amp;R7</f>
        <v>Dip</v>
      </c>
      <c r="T7" s="21" t="s">
        <v>39</v>
      </c>
      <c r="U7" s="24" cm="1">
        <f t="array" ref="U7">IFERROR(+IF($P7=$S7,PrimoF,
IF($Q7=":",PrimoF/SecondoF,
IF($Q7="+",PrimoF+SecondoF,
IF($Q7="-",PrimoF-SecondoF,
PrimoF*SecondoF)))),0)</f>
        <v>104</v>
      </c>
      <c r="V7" s="25" cm="1">
        <f t="array" ref="V7">IFERROR(+IF($P7=$S7,PrimoF,
IF($Q7=":",PrimoF/SecondoF,
IF($Q7="+",PrimoF+SecondoF,
IF($Q7="-",PrimoF-SecondoF,
PrimoF*SecondoF)))),0)</f>
        <v>100</v>
      </c>
      <c r="W7" s="26">
        <f>+IF(V7=0,0,U7/V7)</f>
        <v>1.04</v>
      </c>
      <c r="X7" s="27" cm="1">
        <f t="array" ref="X7">IFERROR(+IF($P7=$S7,PrimoF,
IF($Q7=":",PrimoF/SecondoF,
IF($Q7="+",PrimoF+SecondoF,
IF($Q7="-",PrimoF-SecondoF,
PrimoF*SecondoF)))),0)</f>
        <v>97.9</v>
      </c>
      <c r="Y7" s="25" cm="1">
        <f t="array" ref="Y7">IFERROR(+IF($P7=$S7,PrimoF,
IF($Q7=":",PrimoF/SecondoF,
IF($Q7="+",PrimoF+SecondoF,
IF($Q7="-",PrimoF-SecondoF,
PrimoF*SecondoF)))),0)</f>
        <v>120</v>
      </c>
      <c r="Z7" s="26">
        <f>+IF(Y7=0,0,X7/Y7)</f>
        <v>0.81583333333333341</v>
      </c>
      <c r="AA7" s="27" cm="1">
        <f t="array" ref="AA7">+IFERROR(IF($P7=$S7,PrimoF,
IF($Q7=":",PrimoF/SecondoF,
IF($Q7="+",PrimoF+SecondoF,
IF($Q7="-",PrimoF-SecondoF,
PrimoF*SecondoF)))),0)</f>
        <v>117.3</v>
      </c>
      <c r="AB7" s="25" cm="1">
        <f t="array" ref="AB7">IFERROR(+IF($P7=$S7,PrimoF,
IF($Q7=":",PrimoF/SecondoF,
IF($Q7="+",PrimoF+SecondoF,
IF($Q7="-",PrimoF-SecondoF,
PrimoF*SecondoF)))),0)</f>
        <v>130</v>
      </c>
      <c r="AC7" s="26">
        <f>+IF(AB7=0,0,AA7/AB7)</f>
        <v>0.90230769230769226</v>
      </c>
      <c r="AD7" s="27" cm="1">
        <f t="array" ref="AD7">IFERROR(+IF($P7=$S7,PrimoF,
IF($Q7=":",PrimoF/SecondoF,
IF($Q7="+",PrimoF+SecondoF,
IF($Q7="-",PrimoF-SecondoF,
PrimoF*SecondoF)))),0)</f>
        <v>94.3</v>
      </c>
      <c r="AE7" s="25" cm="1">
        <f t="array" ref="AE7">IFERROR(+IF($P7=$S7,PrimoF,
IF($Q7=":",PrimoF/SecondoF,
IF($Q7="+",PrimoF+SecondoF,
IF($Q7="-",PrimoF-SecondoF,
PrimoF*SecondoF)))),0)</f>
        <v>140</v>
      </c>
      <c r="AF7" s="26">
        <f>+IF(AE7=0,0,AD7/AE7)</f>
        <v>0.6735714285714286</v>
      </c>
      <c r="AI7" s="4">
        <f>+IF(OR(AI6=0,AI6+1&gt;MAX(DatiExtra[NDPRG])),0,AI6+1)</f>
        <v>2</v>
      </c>
      <c r="AJ7" s="6">
        <f>+IF(AI7&gt;0,VLOOKUP(AI7,DatiExtra[[NDPRG]:[Ndata]],2,0),"")</f>
        <v>45107</v>
      </c>
      <c r="AL7" s="6"/>
      <c r="AM7" s="6"/>
    </row>
    <row r="8" spans="1:39" x14ac:dyDescent="0.2">
      <c r="A8" s="8" t="s">
        <v>11</v>
      </c>
      <c r="B8" s="8" t="s">
        <v>12</v>
      </c>
      <c r="D8" s="8" t="s">
        <v>7</v>
      </c>
      <c r="E8" s="13" t="str">
        <f>+IF(DatiExtra[[#This Row],[Cod Fattore]]="","",VLOOKUP(DatiExtra[[#This Row],[Cod Fattore]],ElencoKPI[],2,0))</f>
        <v>Dipendenti</v>
      </c>
      <c r="F8" s="28">
        <v>130</v>
      </c>
      <c r="G8" s="15">
        <v>45199</v>
      </c>
      <c r="H8" s="8" t="b">
        <v>1</v>
      </c>
      <c r="I8" s="13" t="str">
        <f>+IF(DatiExtra[[#This Row],[Budget]],"Budget","Consuntivo")</f>
        <v>Budget</v>
      </c>
      <c r="J8" s="3">
        <f>+(COUNTIF($G$5:G8,DatiExtra[[#This Row],[Data]])=1)*1</f>
        <v>1</v>
      </c>
      <c r="K8" s="3">
        <f>+SUM($J$5:J8)*(DatiExtra[[#This Row],[ND]]=1)</f>
        <v>3</v>
      </c>
      <c r="L8" s="6">
        <f>+IF(DatiExtra[[#This Row],[NDPRG]]&gt;0,DatiExtra[[#This Row],[Data]],"")</f>
        <v>45199</v>
      </c>
      <c r="M8" s="51"/>
      <c r="N8" s="19">
        <v>2</v>
      </c>
      <c r="O8" s="29" t="s">
        <v>32</v>
      </c>
      <c r="P8" s="7" t="s">
        <v>9</v>
      </c>
      <c r="Q8" s="30" t="s">
        <v>33</v>
      </c>
      <c r="R8" s="7" t="s">
        <v>7</v>
      </c>
      <c r="S8" s="31" t="str">
        <f t="shared" ref="S8:S56" si="1">+P8&amp;Q8&amp;R8</f>
        <v>Vol:Dip</v>
      </c>
      <c r="T8" s="7" t="s">
        <v>22</v>
      </c>
      <c r="U8" s="24" cm="1">
        <f t="array" ref="U8">IFERROR(+IF($P8=$S8,PrimoF,
IF($Q8=":",PrimoF/SecondoF,
IF($Q8="+",PrimoF+SecondoF,
IF($Q8="-",PrimoF-SecondoF,
PrimoF*SecondoF)))),0)</f>
        <v>846.15384615384619</v>
      </c>
      <c r="V8" s="25" cm="1">
        <f t="array" ref="V8">IFERROR(+IF($P8=$S8,PrimoF,
IF($Q8=":",PrimoF/SecondoF,
IF($Q8="+",PrimoF+SecondoF,
IF($Q8="-",PrimoF-SecondoF,
PrimoF*SecondoF)))),0)</f>
        <v>1000</v>
      </c>
      <c r="W8" s="26">
        <f t="shared" ref="W8:W56" si="2">+IF(V8=0,0,U8/V8)</f>
        <v>0.84615384615384615</v>
      </c>
      <c r="X8" s="27" cm="1">
        <f t="array" ref="X8">IFERROR(+IF($P8=$S8,PrimoF,
IF($Q8=":",PrimoF/SecondoF,
IF($Q8="+",PrimoF+SecondoF,
IF($Q8="-",PrimoF-SecondoF,
PrimoF*SecondoF)))),0)</f>
        <v>1201.2257405515832</v>
      </c>
      <c r="Y8" s="25" cm="1">
        <f t="array" ref="Y8">IFERROR(+IF($P8=$S8,PrimoF,
IF($Q8=":",PrimoF/SecondoF,
IF($Q8="+",PrimoF+SecondoF,
IF($Q8="-",PrimoF-SecondoF,
PrimoF*SecondoF)))),0)</f>
        <v>1000</v>
      </c>
      <c r="Z8" s="26">
        <f t="shared" ref="Z8:Z56" si="3">+IF(Y8=0,0,X8/Y8)</f>
        <v>1.2012257405515832</v>
      </c>
      <c r="AA8" s="27" cm="1">
        <f t="array" ref="AA8">+IFERROR(IF($P8=$S8,PrimoF,
IF($Q8=":",PrimoF/SecondoF,
IF($Q8="+",PrimoF+SecondoF,
IF($Q8="-",PrimoF-SecondoF,
PrimoF*SecondoF)))),0)</f>
        <v>797.95396419437338</v>
      </c>
      <c r="AB8" s="25" cm="1">
        <f t="array" ref="AB8">IFERROR(+IF($P8=$S8,PrimoF,
IF($Q8=":",PrimoF/SecondoF,
IF($Q8="+",PrimoF+SecondoF,
IF($Q8="-",PrimoF-SecondoF,
PrimoF*SecondoF)))),0)</f>
        <v>692.30769230769226</v>
      </c>
      <c r="AC8" s="26">
        <f t="shared" ref="AC8:AC56" si="4">+IF(AB8=0,0,AA8/AB8)</f>
        <v>1.1526001705029838</v>
      </c>
      <c r="AD8" s="27" cm="1">
        <f t="array" ref="AD8">IFERROR(+IF($P8=$S8,PrimoF,
IF($Q8=":",PrimoF/SecondoF,
IF($Q8="+",PrimoF+SecondoF,
IF($Q8="-",PrimoF-SecondoF,
PrimoF*SecondoF)))),0)</f>
        <v>1213.1495227995758</v>
      </c>
      <c r="AE8" s="25" cm="1">
        <f t="array" ref="AE8">IFERROR(+IF($P8=$S8,PrimoF,
IF($Q8=":",PrimoF/SecondoF,
IF($Q8="+",PrimoF+SecondoF,
IF($Q8="-",PrimoF-SecondoF,
PrimoF*SecondoF)))),0)</f>
        <v>785.71428571428567</v>
      </c>
      <c r="AF8" s="26">
        <f t="shared" ref="AF8:AF56" si="5">+IF(AE8=0,0,AD8/AE8)</f>
        <v>1.5440084835630965</v>
      </c>
      <c r="AI8" s="4">
        <f>+IF(OR(AI7=0,AI7+1&gt;MAX(DatiExtra[NDPRG])),0,AI7+1)</f>
        <v>3</v>
      </c>
      <c r="AJ8" s="6">
        <f>+IF(AI8&gt;0,VLOOKUP(AI8,DatiExtra[[NDPRG]:[Ndata]],2,0),"")</f>
        <v>45199</v>
      </c>
      <c r="AL8" s="6"/>
      <c r="AM8" s="6"/>
    </row>
    <row r="9" spans="1:39" x14ac:dyDescent="0.2">
      <c r="A9" s="8" t="s">
        <v>13</v>
      </c>
      <c r="B9" s="8" t="s">
        <v>14</v>
      </c>
      <c r="D9" s="8" t="s">
        <v>7</v>
      </c>
      <c r="E9" s="13" t="str">
        <f>+IF(DatiExtra[[#This Row],[Cod Fattore]]="","",VLOOKUP(DatiExtra[[#This Row],[Cod Fattore]],ElencoKPI[],2,0))</f>
        <v>Dipendenti</v>
      </c>
      <c r="F9" s="28">
        <v>140</v>
      </c>
      <c r="G9" s="15">
        <v>45291</v>
      </c>
      <c r="H9" s="8" t="b">
        <v>1</v>
      </c>
      <c r="I9" s="13" t="str">
        <f>+IF(DatiExtra[[#This Row],[Budget]],"Budget","Consuntivo")</f>
        <v>Budget</v>
      </c>
      <c r="J9" s="3">
        <f>+(COUNTIF($G$5:G9,DatiExtra[[#This Row],[Data]])=1)*1</f>
        <v>1</v>
      </c>
      <c r="K9" s="3">
        <f>+SUM($J$5:J9)*(DatiExtra[[#This Row],[ND]]=1)</f>
        <v>4</v>
      </c>
      <c r="L9" s="6">
        <f>+IF(DatiExtra[[#This Row],[NDPRG]]&gt;0,DatiExtra[[#This Row],[Data]],"")</f>
        <v>45291</v>
      </c>
      <c r="M9" s="6"/>
      <c r="N9" s="19">
        <v>3</v>
      </c>
      <c r="O9" s="29" t="s">
        <v>9</v>
      </c>
      <c r="P9" s="7" t="s">
        <v>9</v>
      </c>
      <c r="Q9" s="30"/>
      <c r="R9" s="7"/>
      <c r="S9" s="31" t="str">
        <f t="shared" si="1"/>
        <v>Vol</v>
      </c>
      <c r="T9" s="7"/>
      <c r="U9" s="24" cm="1">
        <f t="array" ref="U9">IFERROR(+IF($P9=$S9,PrimoF,
IF($Q9=":",PrimoF/SecondoF,
IF($Q9="+",PrimoF+SecondoF,
IF($Q9="-",PrimoF-SecondoF,
PrimoF*SecondoF)))),0)</f>
        <v>88000</v>
      </c>
      <c r="V9" s="25" cm="1">
        <f t="array" ref="V9">IFERROR(+IF($P9=$S9,PrimoF,
IF($Q9=":",PrimoF/SecondoF,
IF($Q9="+",PrimoF+SecondoF,
IF($Q9="-",PrimoF-SecondoF,
PrimoF*SecondoF)))),0)</f>
        <v>100000</v>
      </c>
      <c r="W9" s="26">
        <f t="shared" si="2"/>
        <v>0.88</v>
      </c>
      <c r="X9" s="27" cm="1">
        <f t="array" ref="X9">IFERROR(+IF($P9=$S9,PrimoF,
IF($Q9=":",PrimoF/SecondoF,
IF($Q9="+",PrimoF+SecondoF,
IF($Q9="-",PrimoF-SecondoF,
PrimoF*SecondoF)))),0)</f>
        <v>117600</v>
      </c>
      <c r="Y9" s="25" cm="1">
        <f t="array" ref="Y9">IFERROR(+IF($P9=$S9,PrimoF,
IF($Q9=":",PrimoF/SecondoF,
IF($Q9="+",PrimoF+SecondoF,
IF($Q9="-",PrimoF-SecondoF,
PrimoF*SecondoF)))),0)</f>
        <v>120000</v>
      </c>
      <c r="Z9" s="26">
        <f t="shared" si="3"/>
        <v>0.98</v>
      </c>
      <c r="AA9" s="27" cm="1">
        <f t="array" ref="AA9">+IFERROR(IF($P9=$S9,PrimoF,
IF($Q9=":",PrimoF/SecondoF,
IF($Q9="+",PrimoF+SecondoF,
IF($Q9="-",PrimoF-SecondoF,
PrimoF*SecondoF)))),0)</f>
        <v>93600</v>
      </c>
      <c r="AB9" s="25" cm="1">
        <f t="array" ref="AB9">IFERROR(+IF($P9=$S9,PrimoF,
IF($Q9=":",PrimoF/SecondoF,
IF($Q9="+",PrimoF+SecondoF,
IF($Q9="-",PrimoF-SecondoF,
PrimoF*SecondoF)))),0)</f>
        <v>90000</v>
      </c>
      <c r="AC9" s="26">
        <f t="shared" si="4"/>
        <v>1.04</v>
      </c>
      <c r="AD9" s="27" cm="1">
        <f t="array" ref="AD9">IFERROR(+IF($P9=$S9,PrimoF,
IF($Q9=":",PrimoF/SecondoF,
IF($Q9="+",PrimoF+SecondoF,
IF($Q9="-",PrimoF-SecondoF,
PrimoF*SecondoF)))),0)</f>
        <v>114400</v>
      </c>
      <c r="AE9" s="25" cm="1">
        <f t="array" ref="AE9">IFERROR(+IF($P9=$S9,PrimoF,
IF($Q9=":",PrimoF/SecondoF,
IF($Q9="+",PrimoF+SecondoF,
IF($Q9="-",PrimoF-SecondoF,
PrimoF*SecondoF)))),0)</f>
        <v>110000</v>
      </c>
      <c r="AF9" s="26">
        <f t="shared" si="5"/>
        <v>1.04</v>
      </c>
      <c r="AI9" s="4">
        <f>+IF(OR(AI8=0,AI8+1&gt;MAX(DatiExtra[NDPRG])),0,AI8+1)</f>
        <v>4</v>
      </c>
      <c r="AJ9" s="6">
        <f>+IF(AI9&gt;0,VLOOKUP(AI9,DatiExtra[[NDPRG]:[Ndata]],2,0),"")</f>
        <v>45291</v>
      </c>
      <c r="AL9" s="6"/>
      <c r="AM9" s="6"/>
    </row>
    <row r="10" spans="1:39" x14ac:dyDescent="0.2">
      <c r="A10" s="8" t="s">
        <v>15</v>
      </c>
      <c r="B10" s="8" t="s">
        <v>16</v>
      </c>
      <c r="D10" s="8" t="s">
        <v>9</v>
      </c>
      <c r="E10" s="13" t="str">
        <f>+IF(DatiExtra[[#This Row],[Cod Fattore]]="","",VLOOKUP(DatiExtra[[#This Row],[Cod Fattore]],ElencoKPI[],2,0))</f>
        <v>Qta Venduta</v>
      </c>
      <c r="F10" s="28">
        <v>100000</v>
      </c>
      <c r="G10" s="15">
        <v>45016</v>
      </c>
      <c r="H10" s="8" t="b">
        <v>1</v>
      </c>
      <c r="I10" s="13" t="str">
        <f>+IF(DatiExtra[[#This Row],[Budget]],"Budget","Consuntivo")</f>
        <v>Budget</v>
      </c>
      <c r="J10" s="3">
        <f>+(COUNTIF($G$5:G10,DatiExtra[[#This Row],[Data]])=1)*1</f>
        <v>0</v>
      </c>
      <c r="K10" s="3">
        <f>+SUM($J$5:J10)*(DatiExtra[[#This Row],[ND]]=1)</f>
        <v>0</v>
      </c>
      <c r="L10" s="6" t="str">
        <f>+IF(DatiExtra[[#This Row],[NDPRG]]&gt;0,DatiExtra[[#This Row],[Data]],"")</f>
        <v/>
      </c>
      <c r="M10" s="6"/>
      <c r="N10" s="19">
        <v>4</v>
      </c>
      <c r="O10" s="29"/>
      <c r="P10" s="7"/>
      <c r="Q10" s="30"/>
      <c r="R10" s="7"/>
      <c r="S10" s="31" t="str">
        <f t="shared" si="1"/>
        <v/>
      </c>
      <c r="T10" s="7"/>
      <c r="U10" s="24" cm="1">
        <f t="array" ref="U10">IFERROR(+IF($P10=$S10,PrimoF,
IF($Q10=":",PrimoF/SecondoF,
IF($Q10="+",PrimoF+SecondoF,
IF($Q10="-",PrimoF-SecondoF,
PrimoF*SecondoF)))),0)</f>
        <v>0</v>
      </c>
      <c r="V10" s="25" cm="1">
        <f t="array" ref="V10">IFERROR(+IF($P10=$S10,PrimoF,
IF($Q10=":",PrimoF/SecondoF,
IF($Q10="+",PrimoF+SecondoF,
IF($Q10="-",PrimoF-SecondoF,
PrimoF*SecondoF)))),0)</f>
        <v>0</v>
      </c>
      <c r="W10" s="26">
        <f t="shared" si="2"/>
        <v>0</v>
      </c>
      <c r="X10" s="27" cm="1">
        <f t="array" ref="X10">IFERROR(+IF($P10=$S10,PrimoF,
IF($Q10=":",PrimoF/SecondoF,
IF($Q10="+",PrimoF+SecondoF,
IF($Q10="-",PrimoF-SecondoF,
PrimoF*SecondoF)))),0)</f>
        <v>0</v>
      </c>
      <c r="Y10" s="25" cm="1">
        <f t="array" ref="Y10">IFERROR(+IF($P10=$S10,PrimoF,
IF($Q10=":",PrimoF/SecondoF,
IF($Q10="+",PrimoF+SecondoF,
IF($Q10="-",PrimoF-SecondoF,
PrimoF*SecondoF)))),0)</f>
        <v>0</v>
      </c>
      <c r="Z10" s="26">
        <f t="shared" si="3"/>
        <v>0</v>
      </c>
      <c r="AA10" s="27" cm="1">
        <f t="array" ref="AA10">+IFERROR(IF($P10=$S10,PrimoF,
IF($Q10=":",PrimoF/SecondoF,
IF($Q10="+",PrimoF+SecondoF,
IF($Q10="-",PrimoF-SecondoF,
PrimoF*SecondoF)))),0)</f>
        <v>0</v>
      </c>
      <c r="AB10" s="25" cm="1">
        <f t="array" ref="AB10">IFERROR(+IF($P10=$S10,PrimoF,
IF($Q10=":",PrimoF/SecondoF,
IF($Q10="+",PrimoF+SecondoF,
IF($Q10="-",PrimoF-SecondoF,
PrimoF*SecondoF)))),0)</f>
        <v>0</v>
      </c>
      <c r="AC10" s="26">
        <f t="shared" si="4"/>
        <v>0</v>
      </c>
      <c r="AD10" s="27" cm="1">
        <f t="array" ref="AD10">IFERROR(+IF($P10=$S10,PrimoF,
IF($Q10=":",PrimoF/SecondoF,
IF($Q10="+",PrimoF+SecondoF,
IF($Q10="-",PrimoF-SecondoF,
PrimoF*SecondoF)))),0)</f>
        <v>0</v>
      </c>
      <c r="AE10" s="25" cm="1">
        <f t="array" ref="AE10">IFERROR(+IF($P10=$S10,PrimoF,
IF($Q10=":",PrimoF/SecondoF,
IF($Q10="+",PrimoF+SecondoF,
IF($Q10="-",PrimoF-SecondoF,
PrimoF*SecondoF)))),0)</f>
        <v>0</v>
      </c>
      <c r="AF10" s="26">
        <f t="shared" si="5"/>
        <v>0</v>
      </c>
      <c r="AI10" s="4">
        <f>+IF(OR(AI9=0,AI9+1&gt;MAX(DatiExtra[NDPRG])),0,AI9+1)</f>
        <v>0</v>
      </c>
      <c r="AJ10" s="6" t="str">
        <f>+IF(AI10&gt;0,VLOOKUP(AI10,DatiExtra[[NDPRG]:[Ndata]],2,0),"")</f>
        <v/>
      </c>
    </row>
    <row r="11" spans="1:39" x14ac:dyDescent="0.2">
      <c r="A11" s="8" t="s">
        <v>17</v>
      </c>
      <c r="B11" s="8" t="s">
        <v>18</v>
      </c>
      <c r="D11" s="8" t="s">
        <v>9</v>
      </c>
      <c r="E11" s="13" t="str">
        <f>+IF(DatiExtra[[#This Row],[Cod Fattore]]="","",VLOOKUP(DatiExtra[[#This Row],[Cod Fattore]],ElencoKPI[],2,0))</f>
        <v>Qta Venduta</v>
      </c>
      <c r="F11" s="28">
        <v>120000</v>
      </c>
      <c r="G11" s="15">
        <v>45107</v>
      </c>
      <c r="H11" s="8" t="b">
        <v>1</v>
      </c>
      <c r="I11" s="13" t="str">
        <f>+IF(DatiExtra[[#This Row],[Budget]],"Budget","Consuntivo")</f>
        <v>Budget</v>
      </c>
      <c r="J11" s="3">
        <f>+(COUNTIF($G$5:G11,DatiExtra[[#This Row],[Data]])=1)*1</f>
        <v>0</v>
      </c>
      <c r="K11" s="3">
        <f>+SUM($J$5:J11)*(DatiExtra[[#This Row],[ND]]=1)</f>
        <v>0</v>
      </c>
      <c r="L11" s="6" t="str">
        <f>+IF(DatiExtra[[#This Row],[NDPRG]]&gt;0,DatiExtra[[#This Row],[Data]],"")</f>
        <v/>
      </c>
      <c r="M11" s="6"/>
      <c r="N11" s="19">
        <v>5</v>
      </c>
      <c r="O11" s="29"/>
      <c r="P11" s="7"/>
      <c r="Q11" s="30"/>
      <c r="R11" s="7"/>
      <c r="S11" s="31" t="str">
        <f t="shared" si="1"/>
        <v/>
      </c>
      <c r="T11" s="7"/>
      <c r="U11" s="24" cm="1">
        <f t="array" ref="U11">IFERROR(+IF($P11=$S11,PrimoF,
IF($Q11=":",PrimoF/SecondoF,
IF($Q11="+",PrimoF+SecondoF,
IF($Q11="-",PrimoF-SecondoF,
PrimoF*SecondoF)))),0)</f>
        <v>0</v>
      </c>
      <c r="V11" s="25" cm="1">
        <f t="array" ref="V11">IFERROR(+IF($P11=$S11,PrimoF,
IF($Q11=":",PrimoF/SecondoF,
IF($Q11="+",PrimoF+SecondoF,
IF($Q11="-",PrimoF-SecondoF,
PrimoF*SecondoF)))),0)</f>
        <v>0</v>
      </c>
      <c r="W11" s="26">
        <f t="shared" si="2"/>
        <v>0</v>
      </c>
      <c r="X11" s="27" cm="1">
        <f t="array" ref="X11">IFERROR(+IF($P11=$S11,PrimoF,
IF($Q11=":",PrimoF/SecondoF,
IF($Q11="+",PrimoF+SecondoF,
IF($Q11="-",PrimoF-SecondoF,
PrimoF*SecondoF)))),0)</f>
        <v>0</v>
      </c>
      <c r="Y11" s="25" cm="1">
        <f t="array" ref="Y11">IFERROR(+IF($P11=$S11,PrimoF,
IF($Q11=":",PrimoF/SecondoF,
IF($Q11="+",PrimoF+SecondoF,
IF($Q11="-",PrimoF-SecondoF,
PrimoF*SecondoF)))),0)</f>
        <v>0</v>
      </c>
      <c r="Z11" s="26">
        <f t="shared" si="3"/>
        <v>0</v>
      </c>
      <c r="AA11" s="27" cm="1">
        <f t="array" ref="AA11">+IFERROR(IF($P11=$S11,PrimoF,
IF($Q11=":",PrimoF/SecondoF,
IF($Q11="+",PrimoF+SecondoF,
IF($Q11="-",PrimoF-SecondoF,
PrimoF*SecondoF)))),0)</f>
        <v>0</v>
      </c>
      <c r="AB11" s="25" cm="1">
        <f t="array" ref="AB11">IFERROR(+IF($P11=$S11,PrimoF,
IF($Q11=":",PrimoF/SecondoF,
IF($Q11="+",PrimoF+SecondoF,
IF($Q11="-",PrimoF-SecondoF,
PrimoF*SecondoF)))),0)</f>
        <v>0</v>
      </c>
      <c r="AC11" s="26">
        <f t="shared" si="4"/>
        <v>0</v>
      </c>
      <c r="AD11" s="27" cm="1">
        <f t="array" ref="AD11">IFERROR(+IF($P11=$S11,PrimoF,
IF($Q11=":",PrimoF/SecondoF,
IF($Q11="+",PrimoF+SecondoF,
IF($Q11="-",PrimoF-SecondoF,
PrimoF*SecondoF)))),0)</f>
        <v>0</v>
      </c>
      <c r="AE11" s="25" cm="1">
        <f t="array" ref="AE11">IFERROR(+IF($P11=$S11,PrimoF,
IF($Q11=":",PrimoF/SecondoF,
IF($Q11="+",PrimoF+SecondoF,
IF($Q11="-",PrimoF-SecondoF,
PrimoF*SecondoF)))),0)</f>
        <v>0</v>
      </c>
      <c r="AF11" s="26">
        <f t="shared" si="5"/>
        <v>0</v>
      </c>
      <c r="AI11" s="4">
        <f>+IF(OR(AI10=0,AI10+1&gt;MAX(DatiExtra[NDPRG])),0,AI10+1)</f>
        <v>0</v>
      </c>
      <c r="AJ11" s="6" t="str">
        <f>+IF(AI11&gt;0,VLOOKUP(AI11,DatiExtra[[NDPRG]:[Ndata]],2,0),"")</f>
        <v/>
      </c>
    </row>
    <row r="12" spans="1:39" x14ac:dyDescent="0.2">
      <c r="A12" s="8" t="s">
        <v>19</v>
      </c>
      <c r="B12" s="8" t="s">
        <v>20</v>
      </c>
      <c r="D12" s="8" t="s">
        <v>9</v>
      </c>
      <c r="E12" s="13" t="str">
        <f>+IF(DatiExtra[[#This Row],[Cod Fattore]]="","",VLOOKUP(DatiExtra[[#This Row],[Cod Fattore]],ElencoKPI[],2,0))</f>
        <v>Qta Venduta</v>
      </c>
      <c r="F12" s="28">
        <v>90000</v>
      </c>
      <c r="G12" s="15">
        <v>45199</v>
      </c>
      <c r="H12" s="8" t="b">
        <v>1</v>
      </c>
      <c r="I12" s="13" t="str">
        <f>+IF(DatiExtra[[#This Row],[Budget]],"Budget","Consuntivo")</f>
        <v>Budget</v>
      </c>
      <c r="J12" s="3">
        <f>+(COUNTIF($G$5:G12,DatiExtra[[#This Row],[Data]])=1)*1</f>
        <v>0</v>
      </c>
      <c r="K12" s="3">
        <f>+SUM($J$5:J12)*(DatiExtra[[#This Row],[ND]]=1)</f>
        <v>0</v>
      </c>
      <c r="L12" s="6" t="str">
        <f>+IF(DatiExtra[[#This Row],[NDPRG]]&gt;0,DatiExtra[[#This Row],[Data]],"")</f>
        <v/>
      </c>
      <c r="M12" s="6"/>
      <c r="N12" s="19">
        <v>6</v>
      </c>
      <c r="O12" s="29"/>
      <c r="P12" s="7"/>
      <c r="Q12" s="30"/>
      <c r="R12" s="7"/>
      <c r="S12" s="31" t="str">
        <f t="shared" si="1"/>
        <v/>
      </c>
      <c r="T12" s="7"/>
      <c r="U12" s="24" cm="1">
        <f t="array" ref="U12">IFERROR(+IF($P12=$S12,PrimoF,
IF($Q12=":",PrimoF/SecondoF,
IF($Q12="+",PrimoF+SecondoF,
IF($Q12="-",PrimoF-SecondoF,
PrimoF*SecondoF)))),0)</f>
        <v>0</v>
      </c>
      <c r="V12" s="25" cm="1">
        <f t="array" ref="V12">IFERROR(+IF($P12=$S12,PrimoF,
IF($Q12=":",PrimoF/SecondoF,
IF($Q12="+",PrimoF+SecondoF,
IF($Q12="-",PrimoF-SecondoF,
PrimoF*SecondoF)))),0)</f>
        <v>0</v>
      </c>
      <c r="W12" s="26">
        <f t="shared" si="2"/>
        <v>0</v>
      </c>
      <c r="X12" s="27" cm="1">
        <f t="array" ref="X12">IFERROR(+IF($P12=$S12,PrimoF,
IF($Q12=":",PrimoF/SecondoF,
IF($Q12="+",PrimoF+SecondoF,
IF($Q12="-",PrimoF-SecondoF,
PrimoF*SecondoF)))),0)</f>
        <v>0</v>
      </c>
      <c r="Y12" s="25" cm="1">
        <f t="array" ref="Y12">IFERROR(+IF($P12=$S12,PrimoF,
IF($Q12=":",PrimoF/SecondoF,
IF($Q12="+",PrimoF+SecondoF,
IF($Q12="-",PrimoF-SecondoF,
PrimoF*SecondoF)))),0)</f>
        <v>0</v>
      </c>
      <c r="Z12" s="26">
        <f t="shared" si="3"/>
        <v>0</v>
      </c>
      <c r="AA12" s="27" cm="1">
        <f t="array" ref="AA12">+IFERROR(IF($P12=$S12,PrimoF,
IF($Q12=":",PrimoF/SecondoF,
IF($Q12="+",PrimoF+SecondoF,
IF($Q12="-",PrimoF-SecondoF,
PrimoF*SecondoF)))),0)</f>
        <v>0</v>
      </c>
      <c r="AB12" s="25" cm="1">
        <f t="array" ref="AB12">IFERROR(+IF($P12=$S12,PrimoF,
IF($Q12=":",PrimoF/SecondoF,
IF($Q12="+",PrimoF+SecondoF,
IF($Q12="-",PrimoF-SecondoF,
PrimoF*SecondoF)))),0)</f>
        <v>0</v>
      </c>
      <c r="AC12" s="26">
        <f t="shared" si="4"/>
        <v>0</v>
      </c>
      <c r="AD12" s="27" cm="1">
        <f t="array" ref="AD12">IFERROR(+IF($P12=$S12,PrimoF,
IF($Q12=":",PrimoF/SecondoF,
IF($Q12="+",PrimoF+SecondoF,
IF($Q12="-",PrimoF-SecondoF,
PrimoF*SecondoF)))),0)</f>
        <v>0</v>
      </c>
      <c r="AE12" s="25" cm="1">
        <f t="array" ref="AE12">IFERROR(+IF($P12=$S12,PrimoF,
IF($Q12=":",PrimoF/SecondoF,
IF($Q12="+",PrimoF+SecondoF,
IF($Q12="-",PrimoF-SecondoF,
PrimoF*SecondoF)))),0)</f>
        <v>0</v>
      </c>
      <c r="AF12" s="26">
        <f t="shared" si="5"/>
        <v>0</v>
      </c>
      <c r="AI12" s="4">
        <f>+IF(OR(AI11=0,AI11+1&gt;MAX(DatiExtra[NDPRG])),0,AI11+1)</f>
        <v>0</v>
      </c>
      <c r="AJ12" s="6" t="str">
        <f>+IF(AI12&gt;0,VLOOKUP(AI12,DatiExtra[[NDPRG]:[Ndata]],2,0),"")</f>
        <v/>
      </c>
    </row>
    <row r="13" spans="1:39" x14ac:dyDescent="0.2">
      <c r="D13" s="8" t="s">
        <v>9</v>
      </c>
      <c r="E13" s="13" t="str">
        <f>+IF(DatiExtra[[#This Row],[Cod Fattore]]="","",VLOOKUP(DatiExtra[[#This Row],[Cod Fattore]],ElencoKPI[],2,0))</f>
        <v>Qta Venduta</v>
      </c>
      <c r="F13" s="28">
        <v>110000</v>
      </c>
      <c r="G13" s="15">
        <v>45291</v>
      </c>
      <c r="H13" s="8" t="b">
        <v>1</v>
      </c>
      <c r="I13" s="13" t="str">
        <f>+IF(DatiExtra[[#This Row],[Budget]],"Budget","Consuntivo")</f>
        <v>Budget</v>
      </c>
      <c r="J13" s="3">
        <f>+(COUNTIF($G$5:G13,DatiExtra[[#This Row],[Data]])=1)*1</f>
        <v>0</v>
      </c>
      <c r="K13" s="3">
        <f>+SUM($J$5:J13)*(DatiExtra[[#This Row],[ND]]=1)</f>
        <v>0</v>
      </c>
      <c r="L13" s="6" t="str">
        <f>+IF(DatiExtra[[#This Row],[NDPRG]]&gt;0,DatiExtra[[#This Row],[Data]],"")</f>
        <v/>
      </c>
      <c r="M13" s="6"/>
      <c r="N13" s="19">
        <v>7</v>
      </c>
      <c r="O13" s="29"/>
      <c r="P13" s="7"/>
      <c r="Q13" s="30"/>
      <c r="R13" s="7"/>
      <c r="S13" s="31" t="str">
        <f t="shared" si="1"/>
        <v/>
      </c>
      <c r="T13" s="7"/>
      <c r="U13" s="24" cm="1">
        <f t="array" ref="U13">IFERROR(+IF($P13=$S13,PrimoF,
IF($Q13=":",PrimoF/SecondoF,
IF($Q13="+",PrimoF+SecondoF,
IF($Q13="-",PrimoF-SecondoF,
PrimoF*SecondoF)))),0)</f>
        <v>0</v>
      </c>
      <c r="V13" s="25" cm="1">
        <f t="array" ref="V13">IFERROR(+IF($P13=$S13,PrimoF,
IF($Q13=":",PrimoF/SecondoF,
IF($Q13="+",PrimoF+SecondoF,
IF($Q13="-",PrimoF-SecondoF,
PrimoF*SecondoF)))),0)</f>
        <v>0</v>
      </c>
      <c r="W13" s="26">
        <f t="shared" si="2"/>
        <v>0</v>
      </c>
      <c r="X13" s="27" cm="1">
        <f t="array" ref="X13">IFERROR(+IF($P13=$S13,PrimoF,
IF($Q13=":",PrimoF/SecondoF,
IF($Q13="+",PrimoF+SecondoF,
IF($Q13="-",PrimoF-SecondoF,
PrimoF*SecondoF)))),0)</f>
        <v>0</v>
      </c>
      <c r="Y13" s="25" cm="1">
        <f t="array" ref="Y13">IFERROR(+IF($P13=$S13,PrimoF,
IF($Q13=":",PrimoF/SecondoF,
IF($Q13="+",PrimoF+SecondoF,
IF($Q13="-",PrimoF-SecondoF,
PrimoF*SecondoF)))),0)</f>
        <v>0</v>
      </c>
      <c r="Z13" s="26">
        <f t="shared" si="3"/>
        <v>0</v>
      </c>
      <c r="AA13" s="27" cm="1">
        <f t="array" ref="AA13">+IFERROR(IF($P13=$S13,PrimoF,
IF($Q13=":",PrimoF/SecondoF,
IF($Q13="+",PrimoF+SecondoF,
IF($Q13="-",PrimoF-SecondoF,
PrimoF*SecondoF)))),0)</f>
        <v>0</v>
      </c>
      <c r="AB13" s="25" cm="1">
        <f t="array" ref="AB13">IFERROR(+IF($P13=$S13,PrimoF,
IF($Q13=":",PrimoF/SecondoF,
IF($Q13="+",PrimoF+SecondoF,
IF($Q13="-",PrimoF-SecondoF,
PrimoF*SecondoF)))),0)</f>
        <v>0</v>
      </c>
      <c r="AC13" s="26">
        <f t="shared" si="4"/>
        <v>0</v>
      </c>
      <c r="AD13" s="27" cm="1">
        <f t="array" ref="AD13">IFERROR(+IF($P13=$S13,PrimoF,
IF($Q13=":",PrimoF/SecondoF,
IF($Q13="+",PrimoF+SecondoF,
IF($Q13="-",PrimoF-SecondoF,
PrimoF*SecondoF)))),0)</f>
        <v>0</v>
      </c>
      <c r="AE13" s="25" cm="1">
        <f t="array" ref="AE13">IFERROR(+IF($P13=$S13,PrimoF,
IF($Q13=":",PrimoF/SecondoF,
IF($Q13="+",PrimoF+SecondoF,
IF($Q13="-",PrimoF-SecondoF,
PrimoF*SecondoF)))),0)</f>
        <v>0</v>
      </c>
      <c r="AF13" s="26">
        <f t="shared" si="5"/>
        <v>0</v>
      </c>
      <c r="AI13" s="4">
        <f>+IF(OR(AI12=0,AI12+1&gt;MAX(DatiExtra[NDPRG])),0,AI12+1)</f>
        <v>0</v>
      </c>
      <c r="AJ13" s="6" t="str">
        <f>+IF(AI13&gt;0,VLOOKUP(AI13,DatiExtra[[NDPRG]:[Ndata]],2,0),"")</f>
        <v/>
      </c>
    </row>
    <row r="14" spans="1:39" x14ac:dyDescent="0.2">
      <c r="D14" s="8" t="s">
        <v>11</v>
      </c>
      <c r="E14" s="13" t="str">
        <f>+IF(DatiExtra[[#This Row],[Cod Fattore]]="","",VLOOKUP(DatiExtra[[#This Row],[Cod Fattore]],ElencoKPI[],2,0))</f>
        <v>Non Conformità</v>
      </c>
      <c r="F14" s="28">
        <v>100</v>
      </c>
      <c r="G14" s="15">
        <v>45016</v>
      </c>
      <c r="H14" s="8" t="b">
        <v>1</v>
      </c>
      <c r="I14" s="13" t="str">
        <f>+IF(DatiExtra[[#This Row],[Budget]],"Budget","Consuntivo")</f>
        <v>Budget</v>
      </c>
      <c r="J14" s="3">
        <f>+(COUNTIF($G$5:G14,DatiExtra[[#This Row],[Data]])=1)*1</f>
        <v>0</v>
      </c>
      <c r="K14" s="3">
        <f>+SUM($J$5:J14)*(DatiExtra[[#This Row],[ND]]=1)</f>
        <v>0</v>
      </c>
      <c r="L14" s="6" t="str">
        <f>+IF(DatiExtra[[#This Row],[NDPRG]]&gt;0,DatiExtra[[#This Row],[Data]],"")</f>
        <v/>
      </c>
      <c r="M14" s="6"/>
      <c r="N14" s="19">
        <v>8</v>
      </c>
      <c r="O14" s="29"/>
      <c r="P14" s="7"/>
      <c r="Q14" s="30"/>
      <c r="R14" s="7"/>
      <c r="S14" s="31" t="str">
        <f t="shared" si="1"/>
        <v/>
      </c>
      <c r="T14" s="7"/>
      <c r="U14" s="24" cm="1">
        <f t="array" ref="U14">IFERROR(+IF($P14=$S14,PrimoF,
IF($Q14=":",PrimoF/SecondoF,
IF($Q14="+",PrimoF+SecondoF,
IF($Q14="-",PrimoF-SecondoF,
PrimoF*SecondoF)))),0)</f>
        <v>0</v>
      </c>
      <c r="V14" s="25" cm="1">
        <f t="array" ref="V14">IFERROR(+IF($P14=$S14,PrimoF,
IF($Q14=":",PrimoF/SecondoF,
IF($Q14="+",PrimoF+SecondoF,
IF($Q14="-",PrimoF-SecondoF,
PrimoF*SecondoF)))),0)</f>
        <v>0</v>
      </c>
      <c r="W14" s="26">
        <f t="shared" si="2"/>
        <v>0</v>
      </c>
      <c r="X14" s="27" cm="1">
        <f t="array" ref="X14">IFERROR(+IF($P14=$S14,PrimoF,
IF($Q14=":",PrimoF/SecondoF,
IF($Q14="+",PrimoF+SecondoF,
IF($Q14="-",PrimoF-SecondoF,
PrimoF*SecondoF)))),0)</f>
        <v>0</v>
      </c>
      <c r="Y14" s="25" cm="1">
        <f t="array" ref="Y14">IFERROR(+IF($P14=$S14,PrimoF,
IF($Q14=":",PrimoF/SecondoF,
IF($Q14="+",PrimoF+SecondoF,
IF($Q14="-",PrimoF-SecondoF,
PrimoF*SecondoF)))),0)</f>
        <v>0</v>
      </c>
      <c r="Z14" s="26">
        <f t="shared" si="3"/>
        <v>0</v>
      </c>
      <c r="AA14" s="27" cm="1">
        <f t="array" ref="AA14">+IFERROR(IF($P14=$S14,PrimoF,
IF($Q14=":",PrimoF/SecondoF,
IF($Q14="+",PrimoF+SecondoF,
IF($Q14="-",PrimoF-SecondoF,
PrimoF*SecondoF)))),0)</f>
        <v>0</v>
      </c>
      <c r="AB14" s="25" cm="1">
        <f t="array" ref="AB14">IFERROR(+IF($P14=$S14,PrimoF,
IF($Q14=":",PrimoF/SecondoF,
IF($Q14="+",PrimoF+SecondoF,
IF($Q14="-",PrimoF-SecondoF,
PrimoF*SecondoF)))),0)</f>
        <v>0</v>
      </c>
      <c r="AC14" s="26">
        <f t="shared" si="4"/>
        <v>0</v>
      </c>
      <c r="AD14" s="27" cm="1">
        <f t="array" ref="AD14">IFERROR(+IF($P14=$S14,PrimoF,
IF($Q14=":",PrimoF/SecondoF,
IF($Q14="+",PrimoF+SecondoF,
IF($Q14="-",PrimoF-SecondoF,
PrimoF*SecondoF)))),0)</f>
        <v>0</v>
      </c>
      <c r="AE14" s="25" cm="1">
        <f t="array" ref="AE14">IFERROR(+IF($P14=$S14,PrimoF,
IF($Q14=":",PrimoF/SecondoF,
IF($Q14="+",PrimoF+SecondoF,
IF($Q14="-",PrimoF-SecondoF,
PrimoF*SecondoF)))),0)</f>
        <v>0</v>
      </c>
      <c r="AF14" s="26">
        <f t="shared" si="5"/>
        <v>0</v>
      </c>
      <c r="AI14" s="4">
        <f>+IF(OR(AI13=0,AI13+1&gt;MAX(DatiExtra[NDPRG])),0,AI13+1)</f>
        <v>0</v>
      </c>
      <c r="AJ14" s="6" t="str">
        <f>+IF(AI14&gt;0,VLOOKUP(AI14,DatiExtra[[NDPRG]:[Ndata]],2,0),"")</f>
        <v/>
      </c>
    </row>
    <row r="15" spans="1:39" x14ac:dyDescent="0.2">
      <c r="D15" s="8" t="s">
        <v>11</v>
      </c>
      <c r="E15" s="13" t="str">
        <f>+IF(DatiExtra[[#This Row],[Cod Fattore]]="","",VLOOKUP(DatiExtra[[#This Row],[Cod Fattore]],ElencoKPI[],2,0))</f>
        <v>Non Conformità</v>
      </c>
      <c r="F15" s="28">
        <v>90</v>
      </c>
      <c r="G15" s="15">
        <v>45107</v>
      </c>
      <c r="H15" s="8" t="b">
        <v>1</v>
      </c>
      <c r="I15" s="13" t="str">
        <f>+IF(DatiExtra[[#This Row],[Budget]],"Budget","Consuntivo")</f>
        <v>Budget</v>
      </c>
      <c r="J15" s="3">
        <f>+(COUNTIF($G$5:G15,DatiExtra[[#This Row],[Data]])=1)*1</f>
        <v>0</v>
      </c>
      <c r="K15" s="3">
        <f>+SUM($J$5:J15)*(DatiExtra[[#This Row],[ND]]=1)</f>
        <v>0</v>
      </c>
      <c r="L15" s="6" t="str">
        <f>+IF(DatiExtra[[#This Row],[NDPRG]]&gt;0,DatiExtra[[#This Row],[Data]],"")</f>
        <v/>
      </c>
      <c r="M15" s="6"/>
      <c r="N15" s="19">
        <v>9</v>
      </c>
      <c r="O15" s="29"/>
      <c r="P15" s="7"/>
      <c r="Q15" s="30"/>
      <c r="R15" s="7"/>
      <c r="S15" s="31" t="str">
        <f t="shared" si="1"/>
        <v/>
      </c>
      <c r="T15" s="7"/>
      <c r="U15" s="24" cm="1">
        <f t="array" ref="U15">IFERROR(+IF($P15=$S15,PrimoF,
IF($Q15=":",PrimoF/SecondoF,
IF($Q15="+",PrimoF+SecondoF,
IF($Q15="-",PrimoF-SecondoF,
PrimoF*SecondoF)))),0)</f>
        <v>0</v>
      </c>
      <c r="V15" s="25" cm="1">
        <f t="array" ref="V15">IFERROR(+IF($P15=$S15,PrimoF,
IF($Q15=":",PrimoF/SecondoF,
IF($Q15="+",PrimoF+SecondoF,
IF($Q15="-",PrimoF-SecondoF,
PrimoF*SecondoF)))),0)</f>
        <v>0</v>
      </c>
      <c r="W15" s="26">
        <f t="shared" si="2"/>
        <v>0</v>
      </c>
      <c r="X15" s="27" cm="1">
        <f t="array" ref="X15">IFERROR(+IF($P15=$S15,PrimoF,
IF($Q15=":",PrimoF/SecondoF,
IF($Q15="+",PrimoF+SecondoF,
IF($Q15="-",PrimoF-SecondoF,
PrimoF*SecondoF)))),0)</f>
        <v>0</v>
      </c>
      <c r="Y15" s="25" cm="1">
        <f t="array" ref="Y15">IFERROR(+IF($P15=$S15,PrimoF,
IF($Q15=":",PrimoF/SecondoF,
IF($Q15="+",PrimoF+SecondoF,
IF($Q15="-",PrimoF-SecondoF,
PrimoF*SecondoF)))),0)</f>
        <v>0</v>
      </c>
      <c r="Z15" s="26">
        <f t="shared" si="3"/>
        <v>0</v>
      </c>
      <c r="AA15" s="27" cm="1">
        <f t="array" ref="AA15">+IFERROR(IF($P15=$S15,PrimoF,
IF($Q15=":",PrimoF/SecondoF,
IF($Q15="+",PrimoF+SecondoF,
IF($Q15="-",PrimoF-SecondoF,
PrimoF*SecondoF)))),0)</f>
        <v>0</v>
      </c>
      <c r="AB15" s="25" cm="1">
        <f t="array" ref="AB15">IFERROR(+IF($P15=$S15,PrimoF,
IF($Q15=":",PrimoF/SecondoF,
IF($Q15="+",PrimoF+SecondoF,
IF($Q15="-",PrimoF-SecondoF,
PrimoF*SecondoF)))),0)</f>
        <v>0</v>
      </c>
      <c r="AC15" s="26">
        <f t="shared" si="4"/>
        <v>0</v>
      </c>
      <c r="AD15" s="27" cm="1">
        <f t="array" ref="AD15">IFERROR(+IF($P15=$S15,PrimoF,
IF($Q15=":",PrimoF/SecondoF,
IF($Q15="+",PrimoF+SecondoF,
IF($Q15="-",PrimoF-SecondoF,
PrimoF*SecondoF)))),0)</f>
        <v>0</v>
      </c>
      <c r="AE15" s="25" cm="1">
        <f t="array" ref="AE15">IFERROR(+IF($P15=$S15,PrimoF,
IF($Q15=":",PrimoF/SecondoF,
IF($Q15="+",PrimoF+SecondoF,
IF($Q15="-",PrimoF-SecondoF,
PrimoF*SecondoF)))),0)</f>
        <v>0</v>
      </c>
      <c r="AF15" s="26">
        <f t="shared" si="5"/>
        <v>0</v>
      </c>
      <c r="AI15" s="4">
        <f>+IF(OR(AI14=0,AI14+1&gt;MAX(DatiExtra[NDPRG])),0,AI14+1)</f>
        <v>0</v>
      </c>
      <c r="AJ15" s="6" t="str">
        <f>+IF(AI15&gt;0,VLOOKUP(AI15,DatiExtra[[NDPRG]:[Ndata]],2,0),"")</f>
        <v/>
      </c>
    </row>
    <row r="16" spans="1:39" x14ac:dyDescent="0.2">
      <c r="D16" s="8" t="s">
        <v>11</v>
      </c>
      <c r="E16" s="13" t="str">
        <f>+IF(DatiExtra[[#This Row],[Cod Fattore]]="","",VLOOKUP(DatiExtra[[#This Row],[Cod Fattore]],ElencoKPI[],2,0))</f>
        <v>Non Conformità</v>
      </c>
      <c r="F16" s="28">
        <v>80</v>
      </c>
      <c r="G16" s="15">
        <v>45199</v>
      </c>
      <c r="H16" s="8" t="b">
        <v>1</v>
      </c>
      <c r="I16" s="13" t="str">
        <f>+IF(DatiExtra[[#This Row],[Budget]],"Budget","Consuntivo")</f>
        <v>Budget</v>
      </c>
      <c r="J16" s="3">
        <f>+(COUNTIF($G$5:G16,DatiExtra[[#This Row],[Data]])=1)*1</f>
        <v>0</v>
      </c>
      <c r="K16" s="3">
        <f>+SUM($J$5:J16)*(DatiExtra[[#This Row],[ND]]=1)</f>
        <v>0</v>
      </c>
      <c r="L16" s="6" t="str">
        <f>+IF(DatiExtra[[#This Row],[NDPRG]]&gt;0,DatiExtra[[#This Row],[Data]],"")</f>
        <v/>
      </c>
      <c r="M16" s="6"/>
      <c r="N16" s="19">
        <v>10</v>
      </c>
      <c r="O16" s="29"/>
      <c r="P16" s="7"/>
      <c r="Q16" s="30"/>
      <c r="R16" s="7"/>
      <c r="S16" s="31" t="str">
        <f t="shared" si="1"/>
        <v/>
      </c>
      <c r="T16" s="7"/>
      <c r="U16" s="24" cm="1">
        <f t="array" ref="U16">IFERROR(+IF($P16=$S16,PrimoF,
IF($Q16=":",PrimoF/SecondoF,
IF($Q16="+",PrimoF+SecondoF,
IF($Q16="-",PrimoF-SecondoF,
PrimoF*SecondoF)))),0)</f>
        <v>0</v>
      </c>
      <c r="V16" s="25" cm="1">
        <f t="array" ref="V16">IFERROR(+IF($P16=$S16,PrimoF,
IF($Q16=":",PrimoF/SecondoF,
IF($Q16="+",PrimoF+SecondoF,
IF($Q16="-",PrimoF-SecondoF,
PrimoF*SecondoF)))),0)</f>
        <v>0</v>
      </c>
      <c r="W16" s="26">
        <f t="shared" si="2"/>
        <v>0</v>
      </c>
      <c r="X16" s="27" cm="1">
        <f t="array" ref="X16">IFERROR(+IF($P16=$S16,PrimoF,
IF($Q16=":",PrimoF/SecondoF,
IF($Q16="+",PrimoF+SecondoF,
IF($Q16="-",PrimoF-SecondoF,
PrimoF*SecondoF)))),0)</f>
        <v>0</v>
      </c>
      <c r="Y16" s="25" cm="1">
        <f t="array" ref="Y16">IFERROR(+IF($P16=$S16,PrimoF,
IF($Q16=":",PrimoF/SecondoF,
IF($Q16="+",PrimoF+SecondoF,
IF($Q16="-",PrimoF-SecondoF,
PrimoF*SecondoF)))),0)</f>
        <v>0</v>
      </c>
      <c r="Z16" s="26">
        <f t="shared" si="3"/>
        <v>0</v>
      </c>
      <c r="AA16" s="27" cm="1">
        <f t="array" ref="AA16">+IFERROR(IF($P16=$S16,PrimoF,
IF($Q16=":",PrimoF/SecondoF,
IF($Q16="+",PrimoF+SecondoF,
IF($Q16="-",PrimoF-SecondoF,
PrimoF*SecondoF)))),0)</f>
        <v>0</v>
      </c>
      <c r="AB16" s="25" cm="1">
        <f t="array" ref="AB16">IFERROR(+IF($P16=$S16,PrimoF,
IF($Q16=":",PrimoF/SecondoF,
IF($Q16="+",PrimoF+SecondoF,
IF($Q16="-",PrimoF-SecondoF,
PrimoF*SecondoF)))),0)</f>
        <v>0</v>
      </c>
      <c r="AC16" s="26">
        <f t="shared" si="4"/>
        <v>0</v>
      </c>
      <c r="AD16" s="27" cm="1">
        <f t="array" ref="AD16">IFERROR(+IF($P16=$S16,PrimoF,
IF($Q16=":",PrimoF/SecondoF,
IF($Q16="+",PrimoF+SecondoF,
IF($Q16="-",PrimoF-SecondoF,
PrimoF*SecondoF)))),0)</f>
        <v>0</v>
      </c>
      <c r="AE16" s="25" cm="1">
        <f t="array" ref="AE16">IFERROR(+IF($P16=$S16,PrimoF,
IF($Q16=":",PrimoF/SecondoF,
IF($Q16="+",PrimoF+SecondoF,
IF($Q16="-",PrimoF-SecondoF,
PrimoF*SecondoF)))),0)</f>
        <v>0</v>
      </c>
      <c r="AF16" s="26">
        <f t="shared" si="5"/>
        <v>0</v>
      </c>
      <c r="AI16" s="4">
        <f>+IF(OR(AI15=0,AI15+1&gt;MAX(DatiExtra[NDPRG])),0,AI15+1)</f>
        <v>0</v>
      </c>
      <c r="AJ16" s="6" t="str">
        <f>+IF(AI16&gt;0,VLOOKUP(AI16,DatiExtra[[NDPRG]:[Ndata]],2,0),"")</f>
        <v/>
      </c>
    </row>
    <row r="17" spans="4:36" x14ac:dyDescent="0.2">
      <c r="D17" s="8" t="s">
        <v>11</v>
      </c>
      <c r="E17" s="13" t="str">
        <f>+IF(DatiExtra[[#This Row],[Cod Fattore]]="","",VLOOKUP(DatiExtra[[#This Row],[Cod Fattore]],ElencoKPI[],2,0))</f>
        <v>Non Conformità</v>
      </c>
      <c r="F17" s="28">
        <v>70</v>
      </c>
      <c r="G17" s="15">
        <v>45291</v>
      </c>
      <c r="H17" s="8" t="b">
        <v>1</v>
      </c>
      <c r="I17" s="13" t="str">
        <f>+IF(DatiExtra[[#This Row],[Budget]],"Budget","Consuntivo")</f>
        <v>Budget</v>
      </c>
      <c r="J17" s="3">
        <f>+(COUNTIF($G$5:G17,DatiExtra[[#This Row],[Data]])=1)*1</f>
        <v>0</v>
      </c>
      <c r="K17" s="3">
        <f>+SUM($J$5:J17)*(DatiExtra[[#This Row],[ND]]=1)</f>
        <v>0</v>
      </c>
      <c r="L17" s="6" t="str">
        <f>+IF(DatiExtra[[#This Row],[NDPRG]]&gt;0,DatiExtra[[#This Row],[Data]],"")</f>
        <v/>
      </c>
      <c r="M17" s="6"/>
      <c r="N17" s="19">
        <v>11</v>
      </c>
      <c r="O17" s="29"/>
      <c r="P17" s="7"/>
      <c r="Q17" s="30"/>
      <c r="R17" s="7"/>
      <c r="S17" s="31" t="str">
        <f t="shared" si="1"/>
        <v/>
      </c>
      <c r="T17" s="7"/>
      <c r="U17" s="24" cm="1">
        <f t="array" ref="U17">IFERROR(+IF($P17=$S17,PrimoF,
IF($Q17=":",PrimoF/SecondoF,
IF($Q17="+",PrimoF+SecondoF,
IF($Q17="-",PrimoF-SecondoF,
PrimoF*SecondoF)))),0)</f>
        <v>0</v>
      </c>
      <c r="V17" s="25" cm="1">
        <f t="array" ref="V17">IFERROR(+IF($P17=$S17,PrimoF,
IF($Q17=":",PrimoF/SecondoF,
IF($Q17="+",PrimoF+SecondoF,
IF($Q17="-",PrimoF-SecondoF,
PrimoF*SecondoF)))),0)</f>
        <v>0</v>
      </c>
      <c r="W17" s="26">
        <f t="shared" si="2"/>
        <v>0</v>
      </c>
      <c r="X17" s="27" cm="1">
        <f t="array" ref="X17">IFERROR(+IF($P17=$S17,PrimoF,
IF($Q17=":",PrimoF/SecondoF,
IF($Q17="+",PrimoF+SecondoF,
IF($Q17="-",PrimoF-SecondoF,
PrimoF*SecondoF)))),0)</f>
        <v>0</v>
      </c>
      <c r="Y17" s="25" cm="1">
        <f t="array" ref="Y17">IFERROR(+IF($P17=$S17,PrimoF,
IF($Q17=":",PrimoF/SecondoF,
IF($Q17="+",PrimoF+SecondoF,
IF($Q17="-",PrimoF-SecondoF,
PrimoF*SecondoF)))),0)</f>
        <v>0</v>
      </c>
      <c r="Z17" s="26">
        <f t="shared" si="3"/>
        <v>0</v>
      </c>
      <c r="AA17" s="27" cm="1">
        <f t="array" ref="AA17">+IFERROR(IF($P17=$S17,PrimoF,
IF($Q17=":",PrimoF/SecondoF,
IF($Q17="+",PrimoF+SecondoF,
IF($Q17="-",PrimoF-SecondoF,
PrimoF*SecondoF)))),0)</f>
        <v>0</v>
      </c>
      <c r="AB17" s="25" cm="1">
        <f t="array" ref="AB17">IFERROR(+IF($P17=$S17,PrimoF,
IF($Q17=":",PrimoF/SecondoF,
IF($Q17="+",PrimoF+SecondoF,
IF($Q17="-",PrimoF-SecondoF,
PrimoF*SecondoF)))),0)</f>
        <v>0</v>
      </c>
      <c r="AC17" s="26">
        <f t="shared" si="4"/>
        <v>0</v>
      </c>
      <c r="AD17" s="27" cm="1">
        <f t="array" ref="AD17">IFERROR(+IF($P17=$S17,PrimoF,
IF($Q17=":",PrimoF/SecondoF,
IF($Q17="+",PrimoF+SecondoF,
IF($Q17="-",PrimoF-SecondoF,
PrimoF*SecondoF)))),0)</f>
        <v>0</v>
      </c>
      <c r="AE17" s="25" cm="1">
        <f t="array" ref="AE17">IFERROR(+IF($P17=$S17,PrimoF,
IF($Q17=":",PrimoF/SecondoF,
IF($Q17="+",PrimoF+SecondoF,
IF($Q17="-",PrimoF-SecondoF,
PrimoF*SecondoF)))),0)</f>
        <v>0</v>
      </c>
      <c r="AF17" s="26">
        <f t="shared" si="5"/>
        <v>0</v>
      </c>
      <c r="AI17" s="4">
        <f>+IF(OR(AI16=0,AI16+1&gt;MAX(DatiExtra[NDPRG])),0,AI16+1)</f>
        <v>0</v>
      </c>
      <c r="AJ17" s="6" t="str">
        <f>+IF(AI17&gt;0,VLOOKUP(AI17,DatiExtra[[NDPRG]:[Ndata]],2,0),"")</f>
        <v/>
      </c>
    </row>
    <row r="18" spans="4:36" x14ac:dyDescent="0.2">
      <c r="D18" s="8" t="s">
        <v>21</v>
      </c>
      <c r="E18" s="13" t="str">
        <f>+IF(DatiExtra[[#This Row],[Cod Fattore]]="","",VLOOKUP(DatiExtra[[#This Row],[Cod Fattore]],ElencoKPI[],2,0))</f>
        <v>Numero di preventivi</v>
      </c>
      <c r="F18" s="28">
        <v>500</v>
      </c>
      <c r="G18" s="15">
        <v>45016</v>
      </c>
      <c r="H18" s="8" t="b">
        <v>1</v>
      </c>
      <c r="I18" s="13" t="str">
        <f>+IF(DatiExtra[[#This Row],[Budget]],"Budget","Consuntivo")</f>
        <v>Budget</v>
      </c>
      <c r="J18" s="3">
        <f>+(COUNTIF($G$5:G18,DatiExtra[[#This Row],[Data]])=1)*1</f>
        <v>0</v>
      </c>
      <c r="K18" s="3">
        <f>+SUM($J$5:J18)*(DatiExtra[[#This Row],[ND]]=1)</f>
        <v>0</v>
      </c>
      <c r="L18" s="6" t="str">
        <f>+IF(DatiExtra[[#This Row],[NDPRG]]&gt;0,DatiExtra[[#This Row],[Data]],"")</f>
        <v/>
      </c>
      <c r="M18" s="6"/>
      <c r="N18" s="19">
        <v>12</v>
      </c>
      <c r="O18" s="29"/>
      <c r="P18" s="7"/>
      <c r="Q18" s="30"/>
      <c r="R18" s="7"/>
      <c r="S18" s="31" t="str">
        <f t="shared" si="1"/>
        <v/>
      </c>
      <c r="T18" s="7"/>
      <c r="U18" s="24" cm="1">
        <f t="array" ref="U18">IFERROR(+IF($P18=$S18,PrimoF,
IF($Q18=":",PrimoF/SecondoF,
IF($Q18="+",PrimoF+SecondoF,
IF($Q18="-",PrimoF-SecondoF,
PrimoF*SecondoF)))),0)</f>
        <v>0</v>
      </c>
      <c r="V18" s="25" cm="1">
        <f t="array" ref="V18">IFERROR(+IF($P18=$S18,PrimoF,
IF($Q18=":",PrimoF/SecondoF,
IF($Q18="+",PrimoF+SecondoF,
IF($Q18="-",PrimoF-SecondoF,
PrimoF*SecondoF)))),0)</f>
        <v>0</v>
      </c>
      <c r="W18" s="26">
        <f t="shared" si="2"/>
        <v>0</v>
      </c>
      <c r="X18" s="27" cm="1">
        <f t="array" ref="X18">IFERROR(+IF($P18=$S18,PrimoF,
IF($Q18=":",PrimoF/SecondoF,
IF($Q18="+",PrimoF+SecondoF,
IF($Q18="-",PrimoF-SecondoF,
PrimoF*SecondoF)))),0)</f>
        <v>0</v>
      </c>
      <c r="Y18" s="25" cm="1">
        <f t="array" ref="Y18">IFERROR(+IF($P18=$S18,PrimoF,
IF($Q18=":",PrimoF/SecondoF,
IF($Q18="+",PrimoF+SecondoF,
IF($Q18="-",PrimoF-SecondoF,
PrimoF*SecondoF)))),0)</f>
        <v>0</v>
      </c>
      <c r="Z18" s="26">
        <f t="shared" si="3"/>
        <v>0</v>
      </c>
      <c r="AA18" s="27" cm="1">
        <f t="array" ref="AA18">+IFERROR(IF($P18=$S18,PrimoF,
IF($Q18=":",PrimoF/SecondoF,
IF($Q18="+",PrimoF+SecondoF,
IF($Q18="-",PrimoF-SecondoF,
PrimoF*SecondoF)))),0)</f>
        <v>0</v>
      </c>
      <c r="AB18" s="25" cm="1">
        <f t="array" ref="AB18">IFERROR(+IF($P18=$S18,PrimoF,
IF($Q18=":",PrimoF/SecondoF,
IF($Q18="+",PrimoF+SecondoF,
IF($Q18="-",PrimoF-SecondoF,
PrimoF*SecondoF)))),0)</f>
        <v>0</v>
      </c>
      <c r="AC18" s="26">
        <f t="shared" si="4"/>
        <v>0</v>
      </c>
      <c r="AD18" s="27" cm="1">
        <f t="array" ref="AD18">IFERROR(+IF($P18=$S18,PrimoF,
IF($Q18=":",PrimoF/SecondoF,
IF($Q18="+",PrimoF+SecondoF,
IF($Q18="-",PrimoF-SecondoF,
PrimoF*SecondoF)))),0)</f>
        <v>0</v>
      </c>
      <c r="AE18" s="25" cm="1">
        <f t="array" ref="AE18">IFERROR(+IF($P18=$S18,PrimoF,
IF($Q18=":",PrimoF/SecondoF,
IF($Q18="+",PrimoF+SecondoF,
IF($Q18="-",PrimoF-SecondoF,
PrimoF*SecondoF)))),0)</f>
        <v>0</v>
      </c>
      <c r="AF18" s="26">
        <f t="shared" si="5"/>
        <v>0</v>
      </c>
      <c r="AI18" s="4">
        <f>+IF(OR(AI17=0,AI17+1&gt;MAX(DatiExtra[NDPRG])),0,AI17+1)</f>
        <v>0</v>
      </c>
      <c r="AJ18" s="6" t="str">
        <f>+IF(AI18&gt;0,VLOOKUP(AI18,DatiExtra[[NDPRG]:[Ndata]],2,0),"")</f>
        <v/>
      </c>
    </row>
    <row r="19" spans="4:36" x14ac:dyDescent="0.2">
      <c r="D19" s="8" t="s">
        <v>21</v>
      </c>
      <c r="E19" s="13" t="str">
        <f>+IF(DatiExtra[[#This Row],[Cod Fattore]]="","",VLOOKUP(DatiExtra[[#This Row],[Cod Fattore]],ElencoKPI[],2,0))</f>
        <v>Numero di preventivi</v>
      </c>
      <c r="F19" s="28">
        <v>600</v>
      </c>
      <c r="G19" s="15">
        <v>45107</v>
      </c>
      <c r="H19" s="8" t="b">
        <v>1</v>
      </c>
      <c r="I19" s="13" t="str">
        <f>+IF(DatiExtra[[#This Row],[Budget]],"Budget","Consuntivo")</f>
        <v>Budget</v>
      </c>
      <c r="J19" s="3">
        <f>+(COUNTIF($G$5:G19,DatiExtra[[#This Row],[Data]])=1)*1</f>
        <v>0</v>
      </c>
      <c r="K19" s="3">
        <f>+SUM($J$5:J19)*(DatiExtra[[#This Row],[ND]]=1)</f>
        <v>0</v>
      </c>
      <c r="L19" s="6" t="str">
        <f>+IF(DatiExtra[[#This Row],[NDPRG]]&gt;0,DatiExtra[[#This Row],[Data]],"")</f>
        <v/>
      </c>
      <c r="M19" s="6"/>
      <c r="N19" s="19">
        <v>13</v>
      </c>
      <c r="O19" s="29"/>
      <c r="P19" s="7"/>
      <c r="Q19" s="30"/>
      <c r="R19" s="7"/>
      <c r="S19" s="31" t="str">
        <f t="shared" si="1"/>
        <v/>
      </c>
      <c r="T19" s="7"/>
      <c r="U19" s="24" cm="1">
        <f t="array" ref="U19">IFERROR(+IF($P19=$S19,PrimoF,
IF($Q19=":",PrimoF/SecondoF,
IF($Q19="+",PrimoF+SecondoF,
IF($Q19="-",PrimoF-SecondoF,
PrimoF*SecondoF)))),0)</f>
        <v>0</v>
      </c>
      <c r="V19" s="25" cm="1">
        <f t="array" ref="V19">IFERROR(+IF($P19=$S19,PrimoF,
IF($Q19=":",PrimoF/SecondoF,
IF($Q19="+",PrimoF+SecondoF,
IF($Q19="-",PrimoF-SecondoF,
PrimoF*SecondoF)))),0)</f>
        <v>0</v>
      </c>
      <c r="W19" s="26">
        <f t="shared" si="2"/>
        <v>0</v>
      </c>
      <c r="X19" s="27" cm="1">
        <f t="array" ref="X19">IFERROR(+IF($P19=$S19,PrimoF,
IF($Q19=":",PrimoF/SecondoF,
IF($Q19="+",PrimoF+SecondoF,
IF($Q19="-",PrimoF-SecondoF,
PrimoF*SecondoF)))),0)</f>
        <v>0</v>
      </c>
      <c r="Y19" s="25" cm="1">
        <f t="array" ref="Y19">IFERROR(+IF($P19=$S19,PrimoF,
IF($Q19=":",PrimoF/SecondoF,
IF($Q19="+",PrimoF+SecondoF,
IF($Q19="-",PrimoF-SecondoF,
PrimoF*SecondoF)))),0)</f>
        <v>0</v>
      </c>
      <c r="Z19" s="26">
        <f t="shared" si="3"/>
        <v>0</v>
      </c>
      <c r="AA19" s="27" cm="1">
        <f t="array" ref="AA19">+IFERROR(IF($P19=$S19,PrimoF,
IF($Q19=":",PrimoF/SecondoF,
IF($Q19="+",PrimoF+SecondoF,
IF($Q19="-",PrimoF-SecondoF,
PrimoF*SecondoF)))),0)</f>
        <v>0</v>
      </c>
      <c r="AB19" s="25" cm="1">
        <f t="array" ref="AB19">IFERROR(+IF($P19=$S19,PrimoF,
IF($Q19=":",PrimoF/SecondoF,
IF($Q19="+",PrimoF+SecondoF,
IF($Q19="-",PrimoF-SecondoF,
PrimoF*SecondoF)))),0)</f>
        <v>0</v>
      </c>
      <c r="AC19" s="26">
        <f t="shared" si="4"/>
        <v>0</v>
      </c>
      <c r="AD19" s="27" cm="1">
        <f t="array" ref="AD19">IFERROR(+IF($P19=$S19,PrimoF,
IF($Q19=":",PrimoF/SecondoF,
IF($Q19="+",PrimoF+SecondoF,
IF($Q19="-",PrimoF-SecondoF,
PrimoF*SecondoF)))),0)</f>
        <v>0</v>
      </c>
      <c r="AE19" s="25" cm="1">
        <f t="array" ref="AE19">IFERROR(+IF($P19=$S19,PrimoF,
IF($Q19=":",PrimoF/SecondoF,
IF($Q19="+",PrimoF+SecondoF,
IF($Q19="-",PrimoF-SecondoF,
PrimoF*SecondoF)))),0)</f>
        <v>0</v>
      </c>
      <c r="AF19" s="26">
        <f t="shared" si="5"/>
        <v>0</v>
      </c>
      <c r="AI19" s="4">
        <f>+IF(OR(AI18=0,AI18+1&gt;MAX(DatiExtra[NDPRG])),0,AI18+1)</f>
        <v>0</v>
      </c>
      <c r="AJ19" s="6" t="str">
        <f>+IF(AI19&gt;0,VLOOKUP(AI19,DatiExtra[[NDPRG]:[Ndata]],2,0),"")</f>
        <v/>
      </c>
    </row>
    <row r="20" spans="4:36" x14ac:dyDescent="0.2">
      <c r="D20" s="8" t="s">
        <v>21</v>
      </c>
      <c r="E20" s="13" t="str">
        <f>+IF(DatiExtra[[#This Row],[Cod Fattore]]="","",VLOOKUP(DatiExtra[[#This Row],[Cod Fattore]],ElencoKPI[],2,0))</f>
        <v>Numero di preventivi</v>
      </c>
      <c r="F20" s="28">
        <v>450</v>
      </c>
      <c r="G20" s="15">
        <v>45199</v>
      </c>
      <c r="H20" s="8" t="b">
        <v>1</v>
      </c>
      <c r="I20" s="13" t="str">
        <f>+IF(DatiExtra[[#This Row],[Budget]],"Budget","Consuntivo")</f>
        <v>Budget</v>
      </c>
      <c r="J20" s="3">
        <f>+(COUNTIF($G$5:G20,DatiExtra[[#This Row],[Data]])=1)*1</f>
        <v>0</v>
      </c>
      <c r="K20" s="3">
        <f>+SUM($J$5:J20)*(DatiExtra[[#This Row],[ND]]=1)</f>
        <v>0</v>
      </c>
      <c r="L20" s="6" t="str">
        <f>+IF(DatiExtra[[#This Row],[NDPRG]]&gt;0,DatiExtra[[#This Row],[Data]],"")</f>
        <v/>
      </c>
      <c r="M20" s="6"/>
      <c r="N20" s="19">
        <v>14</v>
      </c>
      <c r="O20" s="29"/>
      <c r="P20" s="7"/>
      <c r="Q20" s="30"/>
      <c r="R20" s="7"/>
      <c r="S20" s="31" t="str">
        <f t="shared" si="1"/>
        <v/>
      </c>
      <c r="T20" s="7"/>
      <c r="U20" s="24" cm="1">
        <f t="array" ref="U20">IFERROR(+IF($P20=$S20,PrimoF,
IF($Q20=":",PrimoF/SecondoF,
IF($Q20="+",PrimoF+SecondoF,
IF($Q20="-",PrimoF-SecondoF,
PrimoF*SecondoF)))),0)</f>
        <v>0</v>
      </c>
      <c r="V20" s="25" cm="1">
        <f t="array" ref="V20">IFERROR(+IF($P20=$S20,PrimoF,
IF($Q20=":",PrimoF/SecondoF,
IF($Q20="+",PrimoF+SecondoF,
IF($Q20="-",PrimoF-SecondoF,
PrimoF*SecondoF)))),0)</f>
        <v>0</v>
      </c>
      <c r="W20" s="26">
        <f t="shared" si="2"/>
        <v>0</v>
      </c>
      <c r="X20" s="27" cm="1">
        <f t="array" ref="X20">IFERROR(+IF($P20=$S20,PrimoF,
IF($Q20=":",PrimoF/SecondoF,
IF($Q20="+",PrimoF+SecondoF,
IF($Q20="-",PrimoF-SecondoF,
PrimoF*SecondoF)))),0)</f>
        <v>0</v>
      </c>
      <c r="Y20" s="25" cm="1">
        <f t="array" ref="Y20">IFERROR(+IF($P20=$S20,PrimoF,
IF($Q20=":",PrimoF/SecondoF,
IF($Q20="+",PrimoF+SecondoF,
IF($Q20="-",PrimoF-SecondoF,
PrimoF*SecondoF)))),0)</f>
        <v>0</v>
      </c>
      <c r="Z20" s="26">
        <f t="shared" si="3"/>
        <v>0</v>
      </c>
      <c r="AA20" s="27" cm="1">
        <f t="array" ref="AA20">+IFERROR(IF($P20=$S20,PrimoF,
IF($Q20=":",PrimoF/SecondoF,
IF($Q20="+",PrimoF+SecondoF,
IF($Q20="-",PrimoF-SecondoF,
PrimoF*SecondoF)))),0)</f>
        <v>0</v>
      </c>
      <c r="AB20" s="25" cm="1">
        <f t="array" ref="AB20">IFERROR(+IF($P20=$S20,PrimoF,
IF($Q20=":",PrimoF/SecondoF,
IF($Q20="+",PrimoF+SecondoF,
IF($Q20="-",PrimoF-SecondoF,
PrimoF*SecondoF)))),0)</f>
        <v>0</v>
      </c>
      <c r="AC20" s="26">
        <f t="shared" si="4"/>
        <v>0</v>
      </c>
      <c r="AD20" s="27" cm="1">
        <f t="array" ref="AD20">IFERROR(+IF($P20=$S20,PrimoF,
IF($Q20=":",PrimoF/SecondoF,
IF($Q20="+",PrimoF+SecondoF,
IF($Q20="-",PrimoF-SecondoF,
PrimoF*SecondoF)))),0)</f>
        <v>0</v>
      </c>
      <c r="AE20" s="25" cm="1">
        <f t="array" ref="AE20">IFERROR(+IF($P20=$S20,PrimoF,
IF($Q20=":",PrimoF/SecondoF,
IF($Q20="+",PrimoF+SecondoF,
IF($Q20="-",PrimoF-SecondoF,
PrimoF*SecondoF)))),0)</f>
        <v>0</v>
      </c>
      <c r="AF20" s="26">
        <f t="shared" si="5"/>
        <v>0</v>
      </c>
      <c r="AI20" s="4">
        <f>+IF(OR(AI19=0,AI19+1&gt;MAX(DatiExtra[NDPRG])),0,AI19+1)</f>
        <v>0</v>
      </c>
      <c r="AJ20" s="6" t="str">
        <f>+IF(AI20&gt;0,VLOOKUP(AI20,DatiExtra[[NDPRG]:[Ndata]],2,0),"")</f>
        <v/>
      </c>
    </row>
    <row r="21" spans="4:36" x14ac:dyDescent="0.2">
      <c r="D21" s="8" t="s">
        <v>21</v>
      </c>
      <c r="E21" s="13" t="str">
        <f>+IF(DatiExtra[[#This Row],[Cod Fattore]]="","",VLOOKUP(DatiExtra[[#This Row],[Cod Fattore]],ElencoKPI[],2,0))</f>
        <v>Numero di preventivi</v>
      </c>
      <c r="F21" s="28">
        <v>700</v>
      </c>
      <c r="G21" s="15">
        <v>45291</v>
      </c>
      <c r="H21" s="8" t="b">
        <v>1</v>
      </c>
      <c r="I21" s="13" t="str">
        <f>+IF(DatiExtra[[#This Row],[Budget]],"Budget","Consuntivo")</f>
        <v>Budget</v>
      </c>
      <c r="J21" s="3">
        <f>+(COUNTIF($G$5:G21,DatiExtra[[#This Row],[Data]])=1)*1</f>
        <v>0</v>
      </c>
      <c r="K21" s="3">
        <f>+SUM($J$5:J21)*(DatiExtra[[#This Row],[ND]]=1)</f>
        <v>0</v>
      </c>
      <c r="L21" s="6" t="str">
        <f>+IF(DatiExtra[[#This Row],[NDPRG]]&gt;0,DatiExtra[[#This Row],[Data]],"")</f>
        <v/>
      </c>
      <c r="M21" s="6"/>
      <c r="N21" s="19">
        <v>15</v>
      </c>
      <c r="O21" s="29"/>
      <c r="P21" s="7"/>
      <c r="Q21" s="30"/>
      <c r="R21" s="7"/>
      <c r="S21" s="31" t="str">
        <f t="shared" si="1"/>
        <v/>
      </c>
      <c r="T21" s="7"/>
      <c r="U21" s="24" cm="1">
        <f t="array" ref="U21">IFERROR(+IF($P21=$S21,PrimoF,
IF($Q21=":",PrimoF/SecondoF,
IF($Q21="+",PrimoF+SecondoF,
IF($Q21="-",PrimoF-SecondoF,
PrimoF*SecondoF)))),0)</f>
        <v>0</v>
      </c>
      <c r="V21" s="25" cm="1">
        <f t="array" ref="V21">IFERROR(+IF($P21=$S21,PrimoF,
IF($Q21=":",PrimoF/SecondoF,
IF($Q21="+",PrimoF+SecondoF,
IF($Q21="-",PrimoF-SecondoF,
PrimoF*SecondoF)))),0)</f>
        <v>0</v>
      </c>
      <c r="W21" s="26">
        <f t="shared" si="2"/>
        <v>0</v>
      </c>
      <c r="X21" s="27" cm="1">
        <f t="array" ref="X21">IFERROR(+IF($P21=$S21,PrimoF,
IF($Q21=":",PrimoF/SecondoF,
IF($Q21="+",PrimoF+SecondoF,
IF($Q21="-",PrimoF-SecondoF,
PrimoF*SecondoF)))),0)</f>
        <v>0</v>
      </c>
      <c r="Y21" s="25" cm="1">
        <f t="array" ref="Y21">IFERROR(+IF($P21=$S21,PrimoF,
IF($Q21=":",PrimoF/SecondoF,
IF($Q21="+",PrimoF+SecondoF,
IF($Q21="-",PrimoF-SecondoF,
PrimoF*SecondoF)))),0)</f>
        <v>0</v>
      </c>
      <c r="Z21" s="26">
        <f t="shared" si="3"/>
        <v>0</v>
      </c>
      <c r="AA21" s="27" cm="1">
        <f t="array" ref="AA21">+IFERROR(IF($P21=$S21,PrimoF,
IF($Q21=":",PrimoF/SecondoF,
IF($Q21="+",PrimoF+SecondoF,
IF($Q21="-",PrimoF-SecondoF,
PrimoF*SecondoF)))),0)</f>
        <v>0</v>
      </c>
      <c r="AB21" s="25" cm="1">
        <f t="array" ref="AB21">IFERROR(+IF($P21=$S21,PrimoF,
IF($Q21=":",PrimoF/SecondoF,
IF($Q21="+",PrimoF+SecondoF,
IF($Q21="-",PrimoF-SecondoF,
PrimoF*SecondoF)))),0)</f>
        <v>0</v>
      </c>
      <c r="AC21" s="26">
        <f t="shared" si="4"/>
        <v>0</v>
      </c>
      <c r="AD21" s="27" cm="1">
        <f t="array" ref="AD21">IFERROR(+IF($P21=$S21,PrimoF,
IF($Q21=":",PrimoF/SecondoF,
IF($Q21="+",PrimoF+SecondoF,
IF($Q21="-",PrimoF-SecondoF,
PrimoF*SecondoF)))),0)</f>
        <v>0</v>
      </c>
      <c r="AE21" s="25" cm="1">
        <f t="array" ref="AE21">IFERROR(+IF($P21=$S21,PrimoF,
IF($Q21=":",PrimoF/SecondoF,
IF($Q21="+",PrimoF+SecondoF,
IF($Q21="-",PrimoF-SecondoF,
PrimoF*SecondoF)))),0)</f>
        <v>0</v>
      </c>
      <c r="AF21" s="26">
        <f t="shared" si="5"/>
        <v>0</v>
      </c>
      <c r="AI21" s="4">
        <f>+IF(OR(AI20=0,AI20+1&gt;MAX(DatiExtra[NDPRG])),0,AI20+1)</f>
        <v>0</v>
      </c>
      <c r="AJ21" s="6" t="str">
        <f>+IF(AI21&gt;0,VLOOKUP(AI21,DatiExtra[[NDPRG]:[Ndata]],2,0),"")</f>
        <v/>
      </c>
    </row>
    <row r="22" spans="4:36" x14ac:dyDescent="0.2">
      <c r="D22" s="8" t="s">
        <v>15</v>
      </c>
      <c r="E22" s="13" t="str">
        <f>+IF(DatiExtra[[#This Row],[Cod Fattore]]="","",VLOOKUP(DatiExtra[[#This Row],[Cod Fattore]],ElencoKPI[],2,0))</f>
        <v>Dipendenti commerciali</v>
      </c>
      <c r="F22" s="28">
        <v>25</v>
      </c>
      <c r="G22" s="15">
        <v>45016</v>
      </c>
      <c r="H22" s="8" t="b">
        <v>1</v>
      </c>
      <c r="I22" s="13" t="str">
        <f>+IF(DatiExtra[[#This Row],[Budget]],"Budget","Consuntivo")</f>
        <v>Budget</v>
      </c>
      <c r="J22" s="3">
        <f>+(COUNTIF($G$5:G22,DatiExtra[[#This Row],[Data]])=1)*1</f>
        <v>0</v>
      </c>
      <c r="K22" s="3">
        <f>+SUM($J$5:J22)*(DatiExtra[[#This Row],[ND]]=1)</f>
        <v>0</v>
      </c>
      <c r="L22" s="6" t="str">
        <f>+IF(DatiExtra[[#This Row],[NDPRG]]&gt;0,DatiExtra[[#This Row],[Data]],"")</f>
        <v/>
      </c>
      <c r="M22" s="6"/>
      <c r="N22" s="19">
        <v>16</v>
      </c>
      <c r="O22" s="29"/>
      <c r="P22" s="7"/>
      <c r="Q22" s="30"/>
      <c r="R22" s="7"/>
      <c r="S22" s="31" t="str">
        <f t="shared" si="1"/>
        <v/>
      </c>
      <c r="T22" s="7"/>
      <c r="U22" s="24" cm="1">
        <f t="array" ref="U22">IFERROR(+IF($P22=$S22,PrimoF,
IF($Q22=":",PrimoF/SecondoF,
IF($Q22="+",PrimoF+SecondoF,
IF($Q22="-",PrimoF-SecondoF,
PrimoF*SecondoF)))),0)</f>
        <v>0</v>
      </c>
      <c r="V22" s="25" cm="1">
        <f t="array" ref="V22">IFERROR(+IF($P22=$S22,PrimoF,
IF($Q22=":",PrimoF/SecondoF,
IF($Q22="+",PrimoF+SecondoF,
IF($Q22="-",PrimoF-SecondoF,
PrimoF*SecondoF)))),0)</f>
        <v>0</v>
      </c>
      <c r="W22" s="26">
        <f t="shared" si="2"/>
        <v>0</v>
      </c>
      <c r="X22" s="27" cm="1">
        <f t="array" ref="X22">IFERROR(+IF($P22=$S22,PrimoF,
IF($Q22=":",PrimoF/SecondoF,
IF($Q22="+",PrimoF+SecondoF,
IF($Q22="-",PrimoF-SecondoF,
PrimoF*SecondoF)))),0)</f>
        <v>0</v>
      </c>
      <c r="Y22" s="25" cm="1">
        <f t="array" ref="Y22">IFERROR(+IF($P22=$S22,PrimoF,
IF($Q22=":",PrimoF/SecondoF,
IF($Q22="+",PrimoF+SecondoF,
IF($Q22="-",PrimoF-SecondoF,
PrimoF*SecondoF)))),0)</f>
        <v>0</v>
      </c>
      <c r="Z22" s="26">
        <f t="shared" si="3"/>
        <v>0</v>
      </c>
      <c r="AA22" s="27" cm="1">
        <f t="array" ref="AA22">+IFERROR(IF($P22=$S22,PrimoF,
IF($Q22=":",PrimoF/SecondoF,
IF($Q22="+",PrimoF+SecondoF,
IF($Q22="-",PrimoF-SecondoF,
PrimoF*SecondoF)))),0)</f>
        <v>0</v>
      </c>
      <c r="AB22" s="25" cm="1">
        <f t="array" ref="AB22">IFERROR(+IF($P22=$S22,PrimoF,
IF($Q22=":",PrimoF/SecondoF,
IF($Q22="+",PrimoF+SecondoF,
IF($Q22="-",PrimoF-SecondoF,
PrimoF*SecondoF)))),0)</f>
        <v>0</v>
      </c>
      <c r="AC22" s="26">
        <f t="shared" si="4"/>
        <v>0</v>
      </c>
      <c r="AD22" s="27" cm="1">
        <f t="array" ref="AD22">IFERROR(+IF($P22=$S22,PrimoF,
IF($Q22=":",PrimoF/SecondoF,
IF($Q22="+",PrimoF+SecondoF,
IF($Q22="-",PrimoF-SecondoF,
PrimoF*SecondoF)))),0)</f>
        <v>0</v>
      </c>
      <c r="AE22" s="25" cm="1">
        <f t="array" ref="AE22">IFERROR(+IF($P22=$S22,PrimoF,
IF($Q22=":",PrimoF/SecondoF,
IF($Q22="+",PrimoF+SecondoF,
IF($Q22="-",PrimoF-SecondoF,
PrimoF*SecondoF)))),0)</f>
        <v>0</v>
      </c>
      <c r="AF22" s="26">
        <f t="shared" si="5"/>
        <v>0</v>
      </c>
      <c r="AI22" s="4">
        <f>+IF(OR(AI21=0,AI21+1&gt;MAX(DatiExtra[NDPRG])),0,AI21+1)</f>
        <v>0</v>
      </c>
      <c r="AJ22" s="6" t="str">
        <f>+IF(AI22&gt;0,VLOOKUP(AI22,DatiExtra[[NDPRG]:[Ndata]],2,0),"")</f>
        <v/>
      </c>
    </row>
    <row r="23" spans="4:36" x14ac:dyDescent="0.2">
      <c r="D23" s="8" t="s">
        <v>15</v>
      </c>
      <c r="E23" s="13" t="str">
        <f>+IF(DatiExtra[[#This Row],[Cod Fattore]]="","",VLOOKUP(DatiExtra[[#This Row],[Cod Fattore]],ElencoKPI[],2,0))</f>
        <v>Dipendenti commerciali</v>
      </c>
      <c r="F23" s="28">
        <v>26</v>
      </c>
      <c r="G23" s="15">
        <v>45107</v>
      </c>
      <c r="H23" s="8" t="b">
        <v>1</v>
      </c>
      <c r="I23" s="13" t="str">
        <f>+IF(DatiExtra[[#This Row],[Budget]],"Budget","Consuntivo")</f>
        <v>Budget</v>
      </c>
      <c r="J23" s="3">
        <f>+(COUNTIF($G$5:G23,DatiExtra[[#This Row],[Data]])=1)*1</f>
        <v>0</v>
      </c>
      <c r="K23" s="3">
        <f>+SUM($J$5:J23)*(DatiExtra[[#This Row],[ND]]=1)</f>
        <v>0</v>
      </c>
      <c r="L23" s="6" t="str">
        <f>+IF(DatiExtra[[#This Row],[NDPRG]]&gt;0,DatiExtra[[#This Row],[Data]],"")</f>
        <v/>
      </c>
      <c r="M23" s="6"/>
      <c r="N23" s="19">
        <v>17</v>
      </c>
      <c r="O23" s="29"/>
      <c r="P23" s="7"/>
      <c r="Q23" s="30"/>
      <c r="R23" s="7"/>
      <c r="S23" s="31" t="str">
        <f t="shared" si="1"/>
        <v/>
      </c>
      <c r="T23" s="7"/>
      <c r="U23" s="24" cm="1">
        <f t="array" ref="U23">IFERROR(+IF($P23=$S23,PrimoF,
IF($Q23=":",PrimoF/SecondoF,
IF($Q23="+",PrimoF+SecondoF,
IF($Q23="-",PrimoF-SecondoF,
PrimoF*SecondoF)))),0)</f>
        <v>0</v>
      </c>
      <c r="V23" s="25" cm="1">
        <f t="array" ref="V23">IFERROR(+IF($P23=$S23,PrimoF,
IF($Q23=":",PrimoF/SecondoF,
IF($Q23="+",PrimoF+SecondoF,
IF($Q23="-",PrimoF-SecondoF,
PrimoF*SecondoF)))),0)</f>
        <v>0</v>
      </c>
      <c r="W23" s="26">
        <f t="shared" si="2"/>
        <v>0</v>
      </c>
      <c r="X23" s="27" cm="1">
        <f t="array" ref="X23">IFERROR(+IF($P23=$S23,PrimoF,
IF($Q23=":",PrimoF/SecondoF,
IF($Q23="+",PrimoF+SecondoF,
IF($Q23="-",PrimoF-SecondoF,
PrimoF*SecondoF)))),0)</f>
        <v>0</v>
      </c>
      <c r="Y23" s="25" cm="1">
        <f t="array" ref="Y23">IFERROR(+IF($P23=$S23,PrimoF,
IF($Q23=":",PrimoF/SecondoF,
IF($Q23="+",PrimoF+SecondoF,
IF($Q23="-",PrimoF-SecondoF,
PrimoF*SecondoF)))),0)</f>
        <v>0</v>
      </c>
      <c r="Z23" s="26">
        <f t="shared" si="3"/>
        <v>0</v>
      </c>
      <c r="AA23" s="27" cm="1">
        <f t="array" ref="AA23">+IFERROR(IF($P23=$S23,PrimoF,
IF($Q23=":",PrimoF/SecondoF,
IF($Q23="+",PrimoF+SecondoF,
IF($Q23="-",PrimoF-SecondoF,
PrimoF*SecondoF)))),0)</f>
        <v>0</v>
      </c>
      <c r="AB23" s="25" cm="1">
        <f t="array" ref="AB23">IFERROR(+IF($P23=$S23,PrimoF,
IF($Q23=":",PrimoF/SecondoF,
IF($Q23="+",PrimoF+SecondoF,
IF($Q23="-",PrimoF-SecondoF,
PrimoF*SecondoF)))),0)</f>
        <v>0</v>
      </c>
      <c r="AC23" s="26">
        <f t="shared" si="4"/>
        <v>0</v>
      </c>
      <c r="AD23" s="27" cm="1">
        <f t="array" ref="AD23">IFERROR(+IF($P23=$S23,PrimoF,
IF($Q23=":",PrimoF/SecondoF,
IF($Q23="+",PrimoF+SecondoF,
IF($Q23="-",PrimoF-SecondoF,
PrimoF*SecondoF)))),0)</f>
        <v>0</v>
      </c>
      <c r="AE23" s="25" cm="1">
        <f t="array" ref="AE23">IFERROR(+IF($P23=$S23,PrimoF,
IF($Q23=":",PrimoF/SecondoF,
IF($Q23="+",PrimoF+SecondoF,
IF($Q23="-",PrimoF-SecondoF,
PrimoF*SecondoF)))),0)</f>
        <v>0</v>
      </c>
      <c r="AF23" s="26">
        <f t="shared" si="5"/>
        <v>0</v>
      </c>
      <c r="AI23" s="4">
        <f>+IF(OR(AI22=0,AI22+1&gt;MAX(DatiExtra[NDPRG])),0,AI22+1)</f>
        <v>0</v>
      </c>
      <c r="AJ23" s="6" t="str">
        <f>+IF(AI23&gt;0,VLOOKUP(AI23,DatiExtra[[NDPRG]:[Ndata]],2,0),"")</f>
        <v/>
      </c>
    </row>
    <row r="24" spans="4:36" x14ac:dyDescent="0.2">
      <c r="D24" s="8" t="s">
        <v>15</v>
      </c>
      <c r="E24" s="13" t="str">
        <f>+IF(DatiExtra[[#This Row],[Cod Fattore]]="","",VLOOKUP(DatiExtra[[#This Row],[Cod Fattore]],ElencoKPI[],2,0))</f>
        <v>Dipendenti commerciali</v>
      </c>
      <c r="F24" s="28">
        <v>26</v>
      </c>
      <c r="G24" s="15">
        <v>45199</v>
      </c>
      <c r="H24" s="8" t="b">
        <v>1</v>
      </c>
      <c r="I24" s="13" t="str">
        <f>+IF(DatiExtra[[#This Row],[Budget]],"Budget","Consuntivo")</f>
        <v>Budget</v>
      </c>
      <c r="J24" s="3">
        <f>+(COUNTIF($G$5:G24,DatiExtra[[#This Row],[Data]])=1)*1</f>
        <v>0</v>
      </c>
      <c r="K24" s="3">
        <f>+SUM($J$5:J24)*(DatiExtra[[#This Row],[ND]]=1)</f>
        <v>0</v>
      </c>
      <c r="L24" s="6" t="str">
        <f>+IF(DatiExtra[[#This Row],[NDPRG]]&gt;0,DatiExtra[[#This Row],[Data]],"")</f>
        <v/>
      </c>
      <c r="M24" s="6"/>
      <c r="N24" s="19">
        <v>18</v>
      </c>
      <c r="O24" s="29"/>
      <c r="P24" s="7"/>
      <c r="Q24" s="30"/>
      <c r="R24" s="7"/>
      <c r="S24" s="31" t="str">
        <f t="shared" si="1"/>
        <v/>
      </c>
      <c r="T24" s="7"/>
      <c r="U24" s="24" cm="1">
        <f t="array" ref="U24">IFERROR(+IF($P24=$S24,PrimoF,
IF($Q24=":",PrimoF/SecondoF,
IF($Q24="+",PrimoF+SecondoF,
IF($Q24="-",PrimoF-SecondoF,
PrimoF*SecondoF)))),0)</f>
        <v>0</v>
      </c>
      <c r="V24" s="25" cm="1">
        <f t="array" ref="V24">IFERROR(+IF($P24=$S24,PrimoF,
IF($Q24=":",PrimoF/SecondoF,
IF($Q24="+",PrimoF+SecondoF,
IF($Q24="-",PrimoF-SecondoF,
PrimoF*SecondoF)))),0)</f>
        <v>0</v>
      </c>
      <c r="W24" s="26">
        <f t="shared" si="2"/>
        <v>0</v>
      </c>
      <c r="X24" s="27" cm="1">
        <f t="array" ref="X24">IFERROR(+IF($P24=$S24,PrimoF,
IF($Q24=":",PrimoF/SecondoF,
IF($Q24="+",PrimoF+SecondoF,
IF($Q24="-",PrimoF-SecondoF,
PrimoF*SecondoF)))),0)</f>
        <v>0</v>
      </c>
      <c r="Y24" s="25" cm="1">
        <f t="array" ref="Y24">IFERROR(+IF($P24=$S24,PrimoF,
IF($Q24=":",PrimoF/SecondoF,
IF($Q24="+",PrimoF+SecondoF,
IF($Q24="-",PrimoF-SecondoF,
PrimoF*SecondoF)))),0)</f>
        <v>0</v>
      </c>
      <c r="Z24" s="26">
        <f t="shared" si="3"/>
        <v>0</v>
      </c>
      <c r="AA24" s="27" cm="1">
        <f t="array" ref="AA24">+IFERROR(IF($P24=$S24,PrimoF,
IF($Q24=":",PrimoF/SecondoF,
IF($Q24="+",PrimoF+SecondoF,
IF($Q24="-",PrimoF-SecondoF,
PrimoF*SecondoF)))),0)</f>
        <v>0</v>
      </c>
      <c r="AB24" s="25" cm="1">
        <f t="array" ref="AB24">IFERROR(+IF($P24=$S24,PrimoF,
IF($Q24=":",PrimoF/SecondoF,
IF($Q24="+",PrimoF+SecondoF,
IF($Q24="-",PrimoF-SecondoF,
PrimoF*SecondoF)))),0)</f>
        <v>0</v>
      </c>
      <c r="AC24" s="26">
        <f t="shared" si="4"/>
        <v>0</v>
      </c>
      <c r="AD24" s="27" cm="1">
        <f t="array" ref="AD24">IFERROR(+IF($P24=$S24,PrimoF,
IF($Q24=":",PrimoF/SecondoF,
IF($Q24="+",PrimoF+SecondoF,
IF($Q24="-",PrimoF-SecondoF,
PrimoF*SecondoF)))),0)</f>
        <v>0</v>
      </c>
      <c r="AE24" s="25" cm="1">
        <f t="array" ref="AE24">IFERROR(+IF($P24=$S24,PrimoF,
IF($Q24=":",PrimoF/SecondoF,
IF($Q24="+",PrimoF+SecondoF,
IF($Q24="-",PrimoF-SecondoF,
PrimoF*SecondoF)))),0)</f>
        <v>0</v>
      </c>
      <c r="AF24" s="26">
        <f t="shared" si="5"/>
        <v>0</v>
      </c>
      <c r="AI24" s="4">
        <f>+IF(OR(AI23=0,AI23+1&gt;MAX(DatiExtra[NDPRG])),0,AI23+1)</f>
        <v>0</v>
      </c>
      <c r="AJ24" s="6" t="str">
        <f>+IF(AI24&gt;0,VLOOKUP(AI24,DatiExtra[[NDPRG]:[Ndata]],2,0),"")</f>
        <v/>
      </c>
    </row>
    <row r="25" spans="4:36" x14ac:dyDescent="0.2">
      <c r="D25" s="8" t="s">
        <v>15</v>
      </c>
      <c r="E25" s="13" t="str">
        <f>+IF(DatiExtra[[#This Row],[Cod Fattore]]="","",VLOOKUP(DatiExtra[[#This Row],[Cod Fattore]],ElencoKPI[],2,0))</f>
        <v>Dipendenti commerciali</v>
      </c>
      <c r="F25" s="28">
        <v>28</v>
      </c>
      <c r="G25" s="15">
        <v>45291</v>
      </c>
      <c r="H25" s="8" t="b">
        <v>1</v>
      </c>
      <c r="I25" s="13" t="str">
        <f>+IF(DatiExtra[[#This Row],[Budget]],"Budget","Consuntivo")</f>
        <v>Budget</v>
      </c>
      <c r="J25" s="3">
        <f>+(COUNTIF($G$5:G25,DatiExtra[[#This Row],[Data]])=1)*1</f>
        <v>0</v>
      </c>
      <c r="K25" s="3">
        <f>+SUM($J$5:J25)*(DatiExtra[[#This Row],[ND]]=1)</f>
        <v>0</v>
      </c>
      <c r="L25" s="6" t="str">
        <f>+IF(DatiExtra[[#This Row],[NDPRG]]&gt;0,DatiExtra[[#This Row],[Data]],"")</f>
        <v/>
      </c>
      <c r="M25" s="6"/>
      <c r="N25" s="19">
        <v>19</v>
      </c>
      <c r="O25" s="29"/>
      <c r="P25" s="7"/>
      <c r="Q25" s="30"/>
      <c r="R25" s="7"/>
      <c r="S25" s="31" t="str">
        <f t="shared" si="1"/>
        <v/>
      </c>
      <c r="T25" s="7"/>
      <c r="U25" s="24" cm="1">
        <f t="array" ref="U25">IFERROR(+IF($P25=$S25,PrimoF,
IF($Q25=":",PrimoF/SecondoF,
IF($Q25="+",PrimoF+SecondoF,
IF($Q25="-",PrimoF-SecondoF,
PrimoF*SecondoF)))),0)</f>
        <v>0</v>
      </c>
      <c r="V25" s="25" cm="1">
        <f t="array" ref="V25">IFERROR(+IF($P25=$S25,PrimoF,
IF($Q25=":",PrimoF/SecondoF,
IF($Q25="+",PrimoF+SecondoF,
IF($Q25="-",PrimoF-SecondoF,
PrimoF*SecondoF)))),0)</f>
        <v>0</v>
      </c>
      <c r="W25" s="26">
        <f t="shared" si="2"/>
        <v>0</v>
      </c>
      <c r="X25" s="27" cm="1">
        <f t="array" ref="X25">IFERROR(+IF($P25=$S25,PrimoF,
IF($Q25=":",PrimoF/SecondoF,
IF($Q25="+",PrimoF+SecondoF,
IF($Q25="-",PrimoF-SecondoF,
PrimoF*SecondoF)))),0)</f>
        <v>0</v>
      </c>
      <c r="Y25" s="25" cm="1">
        <f t="array" ref="Y25">IFERROR(+IF($P25=$S25,PrimoF,
IF($Q25=":",PrimoF/SecondoF,
IF($Q25="+",PrimoF+SecondoF,
IF($Q25="-",PrimoF-SecondoF,
PrimoF*SecondoF)))),0)</f>
        <v>0</v>
      </c>
      <c r="Z25" s="26">
        <f t="shared" si="3"/>
        <v>0</v>
      </c>
      <c r="AA25" s="27" cm="1">
        <f t="array" ref="AA25">+IFERROR(IF($P25=$S25,PrimoF,
IF($Q25=":",PrimoF/SecondoF,
IF($Q25="+",PrimoF+SecondoF,
IF($Q25="-",PrimoF-SecondoF,
PrimoF*SecondoF)))),0)</f>
        <v>0</v>
      </c>
      <c r="AB25" s="25" cm="1">
        <f t="array" ref="AB25">IFERROR(+IF($P25=$S25,PrimoF,
IF($Q25=":",PrimoF/SecondoF,
IF($Q25="+",PrimoF+SecondoF,
IF($Q25="-",PrimoF-SecondoF,
PrimoF*SecondoF)))),0)</f>
        <v>0</v>
      </c>
      <c r="AC25" s="26">
        <f t="shared" si="4"/>
        <v>0</v>
      </c>
      <c r="AD25" s="27" cm="1">
        <f t="array" ref="AD25">IFERROR(+IF($P25=$S25,PrimoF,
IF($Q25=":",PrimoF/SecondoF,
IF($Q25="+",PrimoF+SecondoF,
IF($Q25="-",PrimoF-SecondoF,
PrimoF*SecondoF)))),0)</f>
        <v>0</v>
      </c>
      <c r="AE25" s="25" cm="1">
        <f t="array" ref="AE25">IFERROR(+IF($P25=$S25,PrimoF,
IF($Q25=":",PrimoF/SecondoF,
IF($Q25="+",PrimoF+SecondoF,
IF($Q25="-",PrimoF-SecondoF,
PrimoF*SecondoF)))),0)</f>
        <v>0</v>
      </c>
      <c r="AF25" s="26">
        <f t="shared" si="5"/>
        <v>0</v>
      </c>
      <c r="AI25" s="4">
        <f>+IF(OR(AI24=0,AI24+1&gt;MAX(DatiExtra[NDPRG])),0,AI24+1)</f>
        <v>0</v>
      </c>
      <c r="AJ25" s="6" t="str">
        <f>+IF(AI25&gt;0,VLOOKUP(AI25,DatiExtra[[NDPRG]:[Ndata]],2,0),"")</f>
        <v/>
      </c>
    </row>
    <row r="26" spans="4:36" x14ac:dyDescent="0.2">
      <c r="D26" s="8" t="s">
        <v>17</v>
      </c>
      <c r="E26" s="13" t="str">
        <f>+IF(DatiExtra[[#This Row],[Cod Fattore]]="","",VLOOKUP(DatiExtra[[#This Row],[Cod Fattore]],ElencoKPI[],2,0))</f>
        <v>Ore di Formazione</v>
      </c>
      <c r="F26" s="28">
        <v>120</v>
      </c>
      <c r="G26" s="15">
        <v>45016</v>
      </c>
      <c r="H26" s="8" t="b">
        <v>1</v>
      </c>
      <c r="I26" s="13" t="str">
        <f>+IF(DatiExtra[[#This Row],[Budget]],"Budget","Consuntivo")</f>
        <v>Budget</v>
      </c>
      <c r="J26" s="3">
        <f>+(COUNTIF($G$5:G26,DatiExtra[[#This Row],[Data]])=1)*1</f>
        <v>0</v>
      </c>
      <c r="K26" s="3">
        <f>+SUM($J$5:J26)*(DatiExtra[[#This Row],[ND]]=1)</f>
        <v>0</v>
      </c>
      <c r="L26" s="6" t="str">
        <f>+IF(DatiExtra[[#This Row],[NDPRG]]&gt;0,DatiExtra[[#This Row],[Data]],"")</f>
        <v/>
      </c>
      <c r="M26" s="6"/>
      <c r="N26" s="19">
        <v>20</v>
      </c>
      <c r="O26" s="29"/>
      <c r="P26" s="7"/>
      <c r="Q26" s="30"/>
      <c r="R26" s="7"/>
      <c r="S26" s="31" t="str">
        <f t="shared" si="1"/>
        <v/>
      </c>
      <c r="T26" s="7"/>
      <c r="U26" s="24" cm="1">
        <f t="array" ref="U26">IFERROR(+IF($P26=$S26,PrimoF,
IF($Q26=":",PrimoF/SecondoF,
IF($Q26="+",PrimoF+SecondoF,
IF($Q26="-",PrimoF-SecondoF,
PrimoF*SecondoF)))),0)</f>
        <v>0</v>
      </c>
      <c r="V26" s="25" cm="1">
        <f t="array" ref="V26">IFERROR(+IF($P26=$S26,PrimoF,
IF($Q26=":",PrimoF/SecondoF,
IF($Q26="+",PrimoF+SecondoF,
IF($Q26="-",PrimoF-SecondoF,
PrimoF*SecondoF)))),0)</f>
        <v>0</v>
      </c>
      <c r="W26" s="26">
        <f t="shared" si="2"/>
        <v>0</v>
      </c>
      <c r="X26" s="27" cm="1">
        <f t="array" ref="X26">IFERROR(+IF($P26=$S26,PrimoF,
IF($Q26=":",PrimoF/SecondoF,
IF($Q26="+",PrimoF+SecondoF,
IF($Q26="-",PrimoF-SecondoF,
PrimoF*SecondoF)))),0)</f>
        <v>0</v>
      </c>
      <c r="Y26" s="25" cm="1">
        <f t="array" ref="Y26">IFERROR(+IF($P26=$S26,PrimoF,
IF($Q26=":",PrimoF/SecondoF,
IF($Q26="+",PrimoF+SecondoF,
IF($Q26="-",PrimoF-SecondoF,
PrimoF*SecondoF)))),0)</f>
        <v>0</v>
      </c>
      <c r="Z26" s="26">
        <f t="shared" si="3"/>
        <v>0</v>
      </c>
      <c r="AA26" s="27" cm="1">
        <f t="array" ref="AA26">+IFERROR(IF($P26=$S26,PrimoF,
IF($Q26=":",PrimoF/SecondoF,
IF($Q26="+",PrimoF+SecondoF,
IF($Q26="-",PrimoF-SecondoF,
PrimoF*SecondoF)))),0)</f>
        <v>0</v>
      </c>
      <c r="AB26" s="25" cm="1">
        <f t="array" ref="AB26">IFERROR(+IF($P26=$S26,PrimoF,
IF($Q26=":",PrimoF/SecondoF,
IF($Q26="+",PrimoF+SecondoF,
IF($Q26="-",PrimoF-SecondoF,
PrimoF*SecondoF)))),0)</f>
        <v>0</v>
      </c>
      <c r="AC26" s="26">
        <f t="shared" si="4"/>
        <v>0</v>
      </c>
      <c r="AD26" s="27" cm="1">
        <f t="array" ref="AD26">IFERROR(+IF($P26=$S26,PrimoF,
IF($Q26=":",PrimoF/SecondoF,
IF($Q26="+",PrimoF+SecondoF,
IF($Q26="-",PrimoF-SecondoF,
PrimoF*SecondoF)))),0)</f>
        <v>0</v>
      </c>
      <c r="AE26" s="25" cm="1">
        <f t="array" ref="AE26">IFERROR(+IF($P26=$S26,PrimoF,
IF($Q26=":",PrimoF/SecondoF,
IF($Q26="+",PrimoF+SecondoF,
IF($Q26="-",PrimoF-SecondoF,
PrimoF*SecondoF)))),0)</f>
        <v>0</v>
      </c>
      <c r="AF26" s="26">
        <f t="shared" si="5"/>
        <v>0</v>
      </c>
      <c r="AI26" s="4">
        <f>+IF(OR(AI25=0,AI25+1&gt;MAX(DatiExtra[NDPRG])),0,AI25+1)</f>
        <v>0</v>
      </c>
      <c r="AJ26" s="6" t="str">
        <f>+IF(AI26&gt;0,VLOOKUP(AI26,DatiExtra[[NDPRG]:[Ndata]],2,0),"")</f>
        <v/>
      </c>
    </row>
    <row r="27" spans="4:36" x14ac:dyDescent="0.2">
      <c r="D27" s="8" t="s">
        <v>17</v>
      </c>
      <c r="E27" s="13" t="str">
        <f>+IF(DatiExtra[[#This Row],[Cod Fattore]]="","",VLOOKUP(DatiExtra[[#This Row],[Cod Fattore]],ElencoKPI[],2,0))</f>
        <v>Ore di Formazione</v>
      </c>
      <c r="F27" s="28">
        <v>130</v>
      </c>
      <c r="G27" s="15">
        <v>45107</v>
      </c>
      <c r="H27" s="8" t="b">
        <v>1</v>
      </c>
      <c r="I27" s="13" t="str">
        <f>+IF(DatiExtra[[#This Row],[Budget]],"Budget","Consuntivo")</f>
        <v>Budget</v>
      </c>
      <c r="J27" s="3">
        <f>+(COUNTIF($G$5:G27,DatiExtra[[#This Row],[Data]])=1)*1</f>
        <v>0</v>
      </c>
      <c r="K27" s="3">
        <f>+SUM($J$5:J27)*(DatiExtra[[#This Row],[ND]]=1)</f>
        <v>0</v>
      </c>
      <c r="L27" s="6" t="str">
        <f>+IF(DatiExtra[[#This Row],[NDPRG]]&gt;0,DatiExtra[[#This Row],[Data]],"")</f>
        <v/>
      </c>
      <c r="M27" s="6"/>
      <c r="N27" s="19">
        <v>21</v>
      </c>
      <c r="O27" s="29"/>
      <c r="P27" s="7"/>
      <c r="Q27" s="30"/>
      <c r="R27" s="7"/>
      <c r="S27" s="31" t="str">
        <f t="shared" si="1"/>
        <v/>
      </c>
      <c r="T27" s="7"/>
      <c r="U27" s="24" cm="1">
        <f t="array" ref="U27">IFERROR(+IF($P27=$S27,PrimoF,
IF($Q27=":",PrimoF/SecondoF,
IF($Q27="+",PrimoF+SecondoF,
IF($Q27="-",PrimoF-SecondoF,
PrimoF*SecondoF)))),0)</f>
        <v>0</v>
      </c>
      <c r="V27" s="25" cm="1">
        <f t="array" ref="V27">IFERROR(+IF($P27=$S27,PrimoF,
IF($Q27=":",PrimoF/SecondoF,
IF($Q27="+",PrimoF+SecondoF,
IF($Q27="-",PrimoF-SecondoF,
PrimoF*SecondoF)))),0)</f>
        <v>0</v>
      </c>
      <c r="W27" s="26">
        <f t="shared" si="2"/>
        <v>0</v>
      </c>
      <c r="X27" s="27" cm="1">
        <f t="array" ref="X27">IFERROR(+IF($P27=$S27,PrimoF,
IF($Q27=":",PrimoF/SecondoF,
IF($Q27="+",PrimoF+SecondoF,
IF($Q27="-",PrimoF-SecondoF,
PrimoF*SecondoF)))),0)</f>
        <v>0</v>
      </c>
      <c r="Y27" s="25" cm="1">
        <f t="array" ref="Y27">IFERROR(+IF($P27=$S27,PrimoF,
IF($Q27=":",PrimoF/SecondoF,
IF($Q27="+",PrimoF+SecondoF,
IF($Q27="-",PrimoF-SecondoF,
PrimoF*SecondoF)))),0)</f>
        <v>0</v>
      </c>
      <c r="Z27" s="26">
        <f t="shared" si="3"/>
        <v>0</v>
      </c>
      <c r="AA27" s="27" cm="1">
        <f t="array" ref="AA27">+IFERROR(IF($P27=$S27,PrimoF,
IF($Q27=":",PrimoF/SecondoF,
IF($Q27="+",PrimoF+SecondoF,
IF($Q27="-",PrimoF-SecondoF,
PrimoF*SecondoF)))),0)</f>
        <v>0</v>
      </c>
      <c r="AB27" s="25" cm="1">
        <f t="array" ref="AB27">IFERROR(+IF($P27=$S27,PrimoF,
IF($Q27=":",PrimoF/SecondoF,
IF($Q27="+",PrimoF+SecondoF,
IF($Q27="-",PrimoF-SecondoF,
PrimoF*SecondoF)))),0)</f>
        <v>0</v>
      </c>
      <c r="AC27" s="26">
        <f t="shared" si="4"/>
        <v>0</v>
      </c>
      <c r="AD27" s="27" cm="1">
        <f t="array" ref="AD27">IFERROR(+IF($P27=$S27,PrimoF,
IF($Q27=":",PrimoF/SecondoF,
IF($Q27="+",PrimoF+SecondoF,
IF($Q27="-",PrimoF-SecondoF,
PrimoF*SecondoF)))),0)</f>
        <v>0</v>
      </c>
      <c r="AE27" s="25" cm="1">
        <f t="array" ref="AE27">IFERROR(+IF($P27=$S27,PrimoF,
IF($Q27=":",PrimoF/SecondoF,
IF($Q27="+",PrimoF+SecondoF,
IF($Q27="-",PrimoF-SecondoF,
PrimoF*SecondoF)))),0)</f>
        <v>0</v>
      </c>
      <c r="AF27" s="26">
        <f t="shared" si="5"/>
        <v>0</v>
      </c>
      <c r="AI27" s="4">
        <f>+IF(OR(AI26=0,AI26+1&gt;MAX(DatiExtra[NDPRG])),0,AI26+1)</f>
        <v>0</v>
      </c>
      <c r="AJ27" s="6" t="str">
        <f>+IF(AI27&gt;0,VLOOKUP(AI27,DatiExtra[[NDPRG]:[Ndata]],2,0),"")</f>
        <v/>
      </c>
    </row>
    <row r="28" spans="4:36" x14ac:dyDescent="0.2">
      <c r="D28" s="8" t="s">
        <v>17</v>
      </c>
      <c r="E28" s="13" t="str">
        <f>+IF(DatiExtra[[#This Row],[Cod Fattore]]="","",VLOOKUP(DatiExtra[[#This Row],[Cod Fattore]],ElencoKPI[],2,0))</f>
        <v>Ore di Formazione</v>
      </c>
      <c r="F28" s="28">
        <v>100</v>
      </c>
      <c r="G28" s="15">
        <v>45199</v>
      </c>
      <c r="H28" s="8" t="b">
        <v>1</v>
      </c>
      <c r="I28" s="13" t="str">
        <f>+IF(DatiExtra[[#This Row],[Budget]],"Budget","Consuntivo")</f>
        <v>Budget</v>
      </c>
      <c r="J28" s="3">
        <f>+(COUNTIF($G$5:G28,DatiExtra[[#This Row],[Data]])=1)*1</f>
        <v>0</v>
      </c>
      <c r="K28" s="3">
        <f>+SUM($J$5:J28)*(DatiExtra[[#This Row],[ND]]=1)</f>
        <v>0</v>
      </c>
      <c r="L28" s="6" t="str">
        <f>+IF(DatiExtra[[#This Row],[NDPRG]]&gt;0,DatiExtra[[#This Row],[Data]],"")</f>
        <v/>
      </c>
      <c r="M28" s="6"/>
      <c r="N28" s="19">
        <v>22</v>
      </c>
      <c r="O28" s="29"/>
      <c r="P28" s="7"/>
      <c r="Q28" s="30"/>
      <c r="R28" s="7"/>
      <c r="S28" s="31" t="str">
        <f t="shared" si="1"/>
        <v/>
      </c>
      <c r="T28" s="7"/>
      <c r="U28" s="24" cm="1">
        <f t="array" ref="U28">IFERROR(+IF($P28=$S28,PrimoF,
IF($Q28=":",PrimoF/SecondoF,
IF($Q28="+",PrimoF+SecondoF,
IF($Q28="-",PrimoF-SecondoF,
PrimoF*SecondoF)))),0)</f>
        <v>0</v>
      </c>
      <c r="V28" s="25" cm="1">
        <f t="array" ref="V28">IFERROR(+IF($P28=$S28,PrimoF,
IF($Q28=":",PrimoF/SecondoF,
IF($Q28="+",PrimoF+SecondoF,
IF($Q28="-",PrimoF-SecondoF,
PrimoF*SecondoF)))),0)</f>
        <v>0</v>
      </c>
      <c r="W28" s="26">
        <f t="shared" si="2"/>
        <v>0</v>
      </c>
      <c r="X28" s="27" cm="1">
        <f t="array" ref="X28">IFERROR(+IF($P28=$S28,PrimoF,
IF($Q28=":",PrimoF/SecondoF,
IF($Q28="+",PrimoF+SecondoF,
IF($Q28="-",PrimoF-SecondoF,
PrimoF*SecondoF)))),0)</f>
        <v>0</v>
      </c>
      <c r="Y28" s="25" cm="1">
        <f t="array" ref="Y28">IFERROR(+IF($P28=$S28,PrimoF,
IF($Q28=":",PrimoF/SecondoF,
IF($Q28="+",PrimoF+SecondoF,
IF($Q28="-",PrimoF-SecondoF,
PrimoF*SecondoF)))),0)</f>
        <v>0</v>
      </c>
      <c r="Z28" s="26">
        <f t="shared" si="3"/>
        <v>0</v>
      </c>
      <c r="AA28" s="27" cm="1">
        <f t="array" ref="AA28">+IFERROR(IF($P28=$S28,PrimoF,
IF($Q28=":",PrimoF/SecondoF,
IF($Q28="+",PrimoF+SecondoF,
IF($Q28="-",PrimoF-SecondoF,
PrimoF*SecondoF)))),0)</f>
        <v>0</v>
      </c>
      <c r="AB28" s="25" cm="1">
        <f t="array" ref="AB28">IFERROR(+IF($P28=$S28,PrimoF,
IF($Q28=":",PrimoF/SecondoF,
IF($Q28="+",PrimoF+SecondoF,
IF($Q28="-",PrimoF-SecondoF,
PrimoF*SecondoF)))),0)</f>
        <v>0</v>
      </c>
      <c r="AC28" s="26">
        <f t="shared" si="4"/>
        <v>0</v>
      </c>
      <c r="AD28" s="27" cm="1">
        <f t="array" ref="AD28">IFERROR(+IF($P28=$S28,PrimoF,
IF($Q28=":",PrimoF/SecondoF,
IF($Q28="+",PrimoF+SecondoF,
IF($Q28="-",PrimoF-SecondoF,
PrimoF*SecondoF)))),0)</f>
        <v>0</v>
      </c>
      <c r="AE28" s="25" cm="1">
        <f t="array" ref="AE28">IFERROR(+IF($P28=$S28,PrimoF,
IF($Q28=":",PrimoF/SecondoF,
IF($Q28="+",PrimoF+SecondoF,
IF($Q28="-",PrimoF-SecondoF,
PrimoF*SecondoF)))),0)</f>
        <v>0</v>
      </c>
      <c r="AF28" s="26">
        <f t="shared" si="5"/>
        <v>0</v>
      </c>
      <c r="AI28" s="4">
        <f>+IF(OR(AI27=0,AI27+1&gt;MAX(DatiExtra[NDPRG])),0,AI27+1)</f>
        <v>0</v>
      </c>
      <c r="AJ28" s="6" t="str">
        <f>+IF(AI28&gt;0,VLOOKUP(AI28,DatiExtra[[NDPRG]:[Ndata]],2,0),"")</f>
        <v/>
      </c>
    </row>
    <row r="29" spans="4:36" x14ac:dyDescent="0.2">
      <c r="D29" s="8" t="s">
        <v>17</v>
      </c>
      <c r="E29" s="13" t="str">
        <f>+IF(DatiExtra[[#This Row],[Cod Fattore]]="","",VLOOKUP(DatiExtra[[#This Row],[Cod Fattore]],ElencoKPI[],2,0))</f>
        <v>Ore di Formazione</v>
      </c>
      <c r="F29" s="28">
        <v>90</v>
      </c>
      <c r="G29" s="15">
        <v>45291</v>
      </c>
      <c r="H29" s="8" t="b">
        <v>1</v>
      </c>
      <c r="I29" s="13" t="str">
        <f>+IF(DatiExtra[[#This Row],[Budget]],"Budget","Consuntivo")</f>
        <v>Budget</v>
      </c>
      <c r="J29" s="3">
        <f>+(COUNTIF($G$5:G29,DatiExtra[[#This Row],[Data]])=1)*1</f>
        <v>0</v>
      </c>
      <c r="K29" s="3">
        <f>+SUM($J$5:J29)*(DatiExtra[[#This Row],[ND]]=1)</f>
        <v>0</v>
      </c>
      <c r="L29" s="6" t="str">
        <f>+IF(DatiExtra[[#This Row],[NDPRG]]&gt;0,DatiExtra[[#This Row],[Data]],"")</f>
        <v/>
      </c>
      <c r="M29" s="6"/>
      <c r="N29" s="19">
        <v>23</v>
      </c>
      <c r="O29" s="29"/>
      <c r="P29" s="7"/>
      <c r="Q29" s="30"/>
      <c r="R29" s="7"/>
      <c r="S29" s="31" t="str">
        <f t="shared" si="1"/>
        <v/>
      </c>
      <c r="T29" s="7"/>
      <c r="U29" s="24" cm="1">
        <f t="array" ref="U29">IFERROR(+IF($P29=$S29,PrimoF,
IF($Q29=":",PrimoF/SecondoF,
IF($Q29="+",PrimoF+SecondoF,
IF($Q29="-",PrimoF-SecondoF,
PrimoF*SecondoF)))),0)</f>
        <v>0</v>
      </c>
      <c r="V29" s="25" cm="1">
        <f t="array" ref="V29">IFERROR(+IF($P29=$S29,PrimoF,
IF($Q29=":",PrimoF/SecondoF,
IF($Q29="+",PrimoF+SecondoF,
IF($Q29="-",PrimoF-SecondoF,
PrimoF*SecondoF)))),0)</f>
        <v>0</v>
      </c>
      <c r="W29" s="26">
        <f t="shared" si="2"/>
        <v>0</v>
      </c>
      <c r="X29" s="27" cm="1">
        <f t="array" ref="X29">IFERROR(+IF($P29=$S29,PrimoF,
IF($Q29=":",PrimoF/SecondoF,
IF($Q29="+",PrimoF+SecondoF,
IF($Q29="-",PrimoF-SecondoF,
PrimoF*SecondoF)))),0)</f>
        <v>0</v>
      </c>
      <c r="Y29" s="25" cm="1">
        <f t="array" ref="Y29">IFERROR(+IF($P29=$S29,PrimoF,
IF($Q29=":",PrimoF/SecondoF,
IF($Q29="+",PrimoF+SecondoF,
IF($Q29="-",PrimoF-SecondoF,
PrimoF*SecondoF)))),0)</f>
        <v>0</v>
      </c>
      <c r="Z29" s="26">
        <f t="shared" si="3"/>
        <v>0</v>
      </c>
      <c r="AA29" s="27" cm="1">
        <f t="array" ref="AA29">+IFERROR(IF($P29=$S29,PrimoF,
IF($Q29=":",PrimoF/SecondoF,
IF($Q29="+",PrimoF+SecondoF,
IF($Q29="-",PrimoF-SecondoF,
PrimoF*SecondoF)))),0)</f>
        <v>0</v>
      </c>
      <c r="AB29" s="25" cm="1">
        <f t="array" ref="AB29">IFERROR(+IF($P29=$S29,PrimoF,
IF($Q29=":",PrimoF/SecondoF,
IF($Q29="+",PrimoF+SecondoF,
IF($Q29="-",PrimoF-SecondoF,
PrimoF*SecondoF)))),0)</f>
        <v>0</v>
      </c>
      <c r="AC29" s="26">
        <f t="shared" si="4"/>
        <v>0</v>
      </c>
      <c r="AD29" s="27" cm="1">
        <f t="array" ref="AD29">IFERROR(+IF($P29=$S29,PrimoF,
IF($Q29=":",PrimoF/SecondoF,
IF($Q29="+",PrimoF+SecondoF,
IF($Q29="-",PrimoF-SecondoF,
PrimoF*SecondoF)))),0)</f>
        <v>0</v>
      </c>
      <c r="AE29" s="25" cm="1">
        <f t="array" ref="AE29">IFERROR(+IF($P29=$S29,PrimoF,
IF($Q29=":",PrimoF/SecondoF,
IF($Q29="+",PrimoF+SecondoF,
IF($Q29="-",PrimoF-SecondoF,
PrimoF*SecondoF)))),0)</f>
        <v>0</v>
      </c>
      <c r="AF29" s="26">
        <f t="shared" si="5"/>
        <v>0</v>
      </c>
      <c r="AI29" s="4">
        <f>+IF(OR(AI28=0,AI28+1&gt;MAX(DatiExtra[NDPRG])),0,AI28+1)</f>
        <v>0</v>
      </c>
      <c r="AJ29" s="6" t="str">
        <f>+IF(AI29&gt;0,VLOOKUP(AI29,DatiExtra[[NDPRG]:[Ndata]],2,0),"")</f>
        <v/>
      </c>
    </row>
    <row r="30" spans="4:36" x14ac:dyDescent="0.2">
      <c r="D30" s="8" t="s">
        <v>19</v>
      </c>
      <c r="E30" s="13" t="str">
        <f>+IF(DatiExtra[[#This Row],[Cod Fattore]]="","",VLOOKUP(DatiExtra[[#This Row],[Cod Fattore]],ElencoKPI[],2,0))</f>
        <v>Numero nuovi cliente</v>
      </c>
      <c r="F30" s="28">
        <v>20</v>
      </c>
      <c r="G30" s="15">
        <v>45016</v>
      </c>
      <c r="H30" s="8" t="b">
        <v>1</v>
      </c>
      <c r="I30" s="13" t="str">
        <f>+IF(DatiExtra[[#This Row],[Budget]],"Budget","Consuntivo")</f>
        <v>Budget</v>
      </c>
      <c r="J30" s="3">
        <f>+(COUNTIF($G$5:G30,DatiExtra[[#This Row],[Data]])=1)*1</f>
        <v>0</v>
      </c>
      <c r="K30" s="3">
        <f>+SUM($J$5:J30)*(DatiExtra[[#This Row],[ND]]=1)</f>
        <v>0</v>
      </c>
      <c r="L30" s="6" t="str">
        <f>+IF(DatiExtra[[#This Row],[NDPRG]]&gt;0,DatiExtra[[#This Row],[Data]],"")</f>
        <v/>
      </c>
      <c r="M30" s="6"/>
      <c r="N30" s="19">
        <v>24</v>
      </c>
      <c r="O30" s="29"/>
      <c r="P30" s="7"/>
      <c r="Q30" s="30"/>
      <c r="R30" s="7"/>
      <c r="S30" s="31" t="str">
        <f t="shared" si="1"/>
        <v/>
      </c>
      <c r="T30" s="7"/>
      <c r="U30" s="24" cm="1">
        <f t="array" ref="U30">IFERROR(+IF($P30=$S30,PrimoF,
IF($Q30=":",PrimoF/SecondoF,
IF($Q30="+",PrimoF+SecondoF,
IF($Q30="-",PrimoF-SecondoF,
PrimoF*SecondoF)))),0)</f>
        <v>0</v>
      </c>
      <c r="V30" s="25" cm="1">
        <f t="array" ref="V30">IFERROR(+IF($P30=$S30,PrimoF,
IF($Q30=":",PrimoF/SecondoF,
IF($Q30="+",PrimoF+SecondoF,
IF($Q30="-",PrimoF-SecondoF,
PrimoF*SecondoF)))),0)</f>
        <v>0</v>
      </c>
      <c r="W30" s="26">
        <f t="shared" si="2"/>
        <v>0</v>
      </c>
      <c r="X30" s="27" cm="1">
        <f t="array" ref="X30">IFERROR(+IF($P30=$S30,PrimoF,
IF($Q30=":",PrimoF/SecondoF,
IF($Q30="+",PrimoF+SecondoF,
IF($Q30="-",PrimoF-SecondoF,
PrimoF*SecondoF)))),0)</f>
        <v>0</v>
      </c>
      <c r="Y30" s="25" cm="1">
        <f t="array" ref="Y30">IFERROR(+IF($P30=$S30,PrimoF,
IF($Q30=":",PrimoF/SecondoF,
IF($Q30="+",PrimoF+SecondoF,
IF($Q30="-",PrimoF-SecondoF,
PrimoF*SecondoF)))),0)</f>
        <v>0</v>
      </c>
      <c r="Z30" s="26">
        <f t="shared" si="3"/>
        <v>0</v>
      </c>
      <c r="AA30" s="27" cm="1">
        <f t="array" ref="AA30">+IFERROR(IF($P30=$S30,PrimoF,
IF($Q30=":",PrimoF/SecondoF,
IF($Q30="+",PrimoF+SecondoF,
IF($Q30="-",PrimoF-SecondoF,
PrimoF*SecondoF)))),0)</f>
        <v>0</v>
      </c>
      <c r="AB30" s="25" cm="1">
        <f t="array" ref="AB30">IFERROR(+IF($P30=$S30,PrimoF,
IF($Q30=":",PrimoF/SecondoF,
IF($Q30="+",PrimoF+SecondoF,
IF($Q30="-",PrimoF-SecondoF,
PrimoF*SecondoF)))),0)</f>
        <v>0</v>
      </c>
      <c r="AC30" s="26">
        <f t="shared" si="4"/>
        <v>0</v>
      </c>
      <c r="AD30" s="27" cm="1">
        <f t="array" ref="AD30">IFERROR(+IF($P30=$S30,PrimoF,
IF($Q30=":",PrimoF/SecondoF,
IF($Q30="+",PrimoF+SecondoF,
IF($Q30="-",PrimoF-SecondoF,
PrimoF*SecondoF)))),0)</f>
        <v>0</v>
      </c>
      <c r="AE30" s="25" cm="1">
        <f t="array" ref="AE30">IFERROR(+IF($P30=$S30,PrimoF,
IF($Q30=":",PrimoF/SecondoF,
IF($Q30="+",PrimoF+SecondoF,
IF($Q30="-",PrimoF-SecondoF,
PrimoF*SecondoF)))),0)</f>
        <v>0</v>
      </c>
      <c r="AF30" s="26">
        <f t="shared" si="5"/>
        <v>0</v>
      </c>
      <c r="AI30" s="4">
        <f>+IF(OR(AI29=0,AI29+1&gt;MAX(DatiExtra[NDPRG])),0,AI29+1)</f>
        <v>0</v>
      </c>
      <c r="AJ30" s="6" t="str">
        <f>+IF(AI30&gt;0,VLOOKUP(AI30,DatiExtra[[NDPRG]:[Ndata]],2,0),"")</f>
        <v/>
      </c>
    </row>
    <row r="31" spans="4:36" x14ac:dyDescent="0.2">
      <c r="D31" s="8" t="s">
        <v>19</v>
      </c>
      <c r="E31" s="13" t="str">
        <f>+IF(DatiExtra[[#This Row],[Cod Fattore]]="","",VLOOKUP(DatiExtra[[#This Row],[Cod Fattore]],ElencoKPI[],2,0))</f>
        <v>Numero nuovi cliente</v>
      </c>
      <c r="F31" s="28">
        <v>30</v>
      </c>
      <c r="G31" s="15">
        <v>45107</v>
      </c>
      <c r="H31" s="8" t="b">
        <v>1</v>
      </c>
      <c r="I31" s="13" t="str">
        <f>+IF(DatiExtra[[#This Row],[Budget]],"Budget","Consuntivo")</f>
        <v>Budget</v>
      </c>
      <c r="J31" s="3">
        <f>+(COUNTIF($G$5:G31,DatiExtra[[#This Row],[Data]])=1)*1</f>
        <v>0</v>
      </c>
      <c r="K31" s="3">
        <f>+SUM($J$5:J31)*(DatiExtra[[#This Row],[ND]]=1)</f>
        <v>0</v>
      </c>
      <c r="L31" s="6" t="str">
        <f>+IF(DatiExtra[[#This Row],[NDPRG]]&gt;0,DatiExtra[[#This Row],[Data]],"")</f>
        <v/>
      </c>
      <c r="M31" s="6"/>
      <c r="N31" s="19">
        <v>25</v>
      </c>
      <c r="O31" s="29"/>
      <c r="P31" s="7"/>
      <c r="Q31" s="30"/>
      <c r="R31" s="7"/>
      <c r="S31" s="31" t="str">
        <f t="shared" si="1"/>
        <v/>
      </c>
      <c r="T31" s="7"/>
      <c r="U31" s="24" cm="1">
        <f t="array" ref="U31">IFERROR(+IF($P31=$S31,PrimoF,
IF($Q31=":",PrimoF/SecondoF,
IF($Q31="+",PrimoF+SecondoF,
IF($Q31="-",PrimoF-SecondoF,
PrimoF*SecondoF)))),0)</f>
        <v>0</v>
      </c>
      <c r="V31" s="25" cm="1">
        <f t="array" ref="V31">IFERROR(+IF($P31=$S31,PrimoF,
IF($Q31=":",PrimoF/SecondoF,
IF($Q31="+",PrimoF+SecondoF,
IF($Q31="-",PrimoF-SecondoF,
PrimoF*SecondoF)))),0)</f>
        <v>0</v>
      </c>
      <c r="W31" s="26">
        <f t="shared" si="2"/>
        <v>0</v>
      </c>
      <c r="X31" s="27" cm="1">
        <f t="array" ref="X31">IFERROR(+IF($P31=$S31,PrimoF,
IF($Q31=":",PrimoF/SecondoF,
IF($Q31="+",PrimoF+SecondoF,
IF($Q31="-",PrimoF-SecondoF,
PrimoF*SecondoF)))),0)</f>
        <v>0</v>
      </c>
      <c r="Y31" s="25" cm="1">
        <f t="array" ref="Y31">IFERROR(+IF($P31=$S31,PrimoF,
IF($Q31=":",PrimoF/SecondoF,
IF($Q31="+",PrimoF+SecondoF,
IF($Q31="-",PrimoF-SecondoF,
PrimoF*SecondoF)))),0)</f>
        <v>0</v>
      </c>
      <c r="Z31" s="26">
        <f t="shared" si="3"/>
        <v>0</v>
      </c>
      <c r="AA31" s="27" cm="1">
        <f t="array" ref="AA31">+IFERROR(IF($P31=$S31,PrimoF,
IF($Q31=":",PrimoF/SecondoF,
IF($Q31="+",PrimoF+SecondoF,
IF($Q31="-",PrimoF-SecondoF,
PrimoF*SecondoF)))),0)</f>
        <v>0</v>
      </c>
      <c r="AB31" s="25" cm="1">
        <f t="array" ref="AB31">IFERROR(+IF($P31=$S31,PrimoF,
IF($Q31=":",PrimoF/SecondoF,
IF($Q31="+",PrimoF+SecondoF,
IF($Q31="-",PrimoF-SecondoF,
PrimoF*SecondoF)))),0)</f>
        <v>0</v>
      </c>
      <c r="AC31" s="26">
        <f t="shared" si="4"/>
        <v>0</v>
      </c>
      <c r="AD31" s="27" cm="1">
        <f t="array" ref="AD31">IFERROR(+IF($P31=$S31,PrimoF,
IF($Q31=":",PrimoF/SecondoF,
IF($Q31="+",PrimoF+SecondoF,
IF($Q31="-",PrimoF-SecondoF,
PrimoF*SecondoF)))),0)</f>
        <v>0</v>
      </c>
      <c r="AE31" s="25" cm="1">
        <f t="array" ref="AE31">IFERROR(+IF($P31=$S31,PrimoF,
IF($Q31=":",PrimoF/SecondoF,
IF($Q31="+",PrimoF+SecondoF,
IF($Q31="-",PrimoF-SecondoF,
PrimoF*SecondoF)))),0)</f>
        <v>0</v>
      </c>
      <c r="AF31" s="26">
        <f t="shared" si="5"/>
        <v>0</v>
      </c>
      <c r="AI31" s="4">
        <f>+IF(OR(AI30=0,AI30+1&gt;MAX(DatiExtra[NDPRG])),0,AI30+1)</f>
        <v>0</v>
      </c>
      <c r="AJ31" s="6" t="str">
        <f>+IF(AI31&gt;0,VLOOKUP(AI31,DatiExtra[[NDPRG]:[Ndata]],2,0),"")</f>
        <v/>
      </c>
    </row>
    <row r="32" spans="4:36" x14ac:dyDescent="0.2">
      <c r="D32" s="8" t="s">
        <v>19</v>
      </c>
      <c r="E32" s="13" t="str">
        <f>+IF(DatiExtra[[#This Row],[Cod Fattore]]="","",VLOOKUP(DatiExtra[[#This Row],[Cod Fattore]],ElencoKPI[],2,0))</f>
        <v>Numero nuovi cliente</v>
      </c>
      <c r="F32" s="28">
        <v>25</v>
      </c>
      <c r="G32" s="15">
        <v>45199</v>
      </c>
      <c r="H32" s="8" t="b">
        <v>1</v>
      </c>
      <c r="I32" s="13" t="str">
        <f>+IF(DatiExtra[[#This Row],[Budget]],"Budget","Consuntivo")</f>
        <v>Budget</v>
      </c>
      <c r="J32" s="3">
        <f>+(COUNTIF($G$5:G32,DatiExtra[[#This Row],[Data]])=1)*1</f>
        <v>0</v>
      </c>
      <c r="K32" s="3">
        <f>+SUM($J$5:J32)*(DatiExtra[[#This Row],[ND]]=1)</f>
        <v>0</v>
      </c>
      <c r="L32" s="6" t="str">
        <f>+IF(DatiExtra[[#This Row],[NDPRG]]&gt;0,DatiExtra[[#This Row],[Data]],"")</f>
        <v/>
      </c>
      <c r="M32" s="6"/>
      <c r="N32" s="19">
        <v>26</v>
      </c>
      <c r="O32" s="29"/>
      <c r="P32" s="7"/>
      <c r="Q32" s="30"/>
      <c r="R32" s="7"/>
      <c r="S32" s="31" t="str">
        <f t="shared" si="1"/>
        <v/>
      </c>
      <c r="T32" s="7"/>
      <c r="U32" s="24" cm="1">
        <f t="array" ref="U32">IFERROR(+IF($P32=$S32,PrimoF,
IF($Q32=":",PrimoF/SecondoF,
IF($Q32="+",PrimoF+SecondoF,
IF($Q32="-",PrimoF-SecondoF,
PrimoF*SecondoF)))),0)</f>
        <v>0</v>
      </c>
      <c r="V32" s="25" cm="1">
        <f t="array" ref="V32">IFERROR(+IF($P32=$S32,PrimoF,
IF($Q32=":",PrimoF/SecondoF,
IF($Q32="+",PrimoF+SecondoF,
IF($Q32="-",PrimoF-SecondoF,
PrimoF*SecondoF)))),0)</f>
        <v>0</v>
      </c>
      <c r="W32" s="26">
        <f t="shared" si="2"/>
        <v>0</v>
      </c>
      <c r="X32" s="27" cm="1">
        <f t="array" ref="X32">IFERROR(+IF($P32=$S32,PrimoF,
IF($Q32=":",PrimoF/SecondoF,
IF($Q32="+",PrimoF+SecondoF,
IF($Q32="-",PrimoF-SecondoF,
PrimoF*SecondoF)))),0)</f>
        <v>0</v>
      </c>
      <c r="Y32" s="25" cm="1">
        <f t="array" ref="Y32">IFERROR(+IF($P32=$S32,PrimoF,
IF($Q32=":",PrimoF/SecondoF,
IF($Q32="+",PrimoF+SecondoF,
IF($Q32="-",PrimoF-SecondoF,
PrimoF*SecondoF)))),0)</f>
        <v>0</v>
      </c>
      <c r="Z32" s="26">
        <f t="shared" si="3"/>
        <v>0</v>
      </c>
      <c r="AA32" s="27" cm="1">
        <f t="array" ref="AA32">+IFERROR(IF($P32=$S32,PrimoF,
IF($Q32=":",PrimoF/SecondoF,
IF($Q32="+",PrimoF+SecondoF,
IF($Q32="-",PrimoF-SecondoF,
PrimoF*SecondoF)))),0)</f>
        <v>0</v>
      </c>
      <c r="AB32" s="25" cm="1">
        <f t="array" ref="AB32">IFERROR(+IF($P32=$S32,PrimoF,
IF($Q32=":",PrimoF/SecondoF,
IF($Q32="+",PrimoF+SecondoF,
IF($Q32="-",PrimoF-SecondoF,
PrimoF*SecondoF)))),0)</f>
        <v>0</v>
      </c>
      <c r="AC32" s="26">
        <f t="shared" si="4"/>
        <v>0</v>
      </c>
      <c r="AD32" s="27" cm="1">
        <f t="array" ref="AD32">IFERROR(+IF($P32=$S32,PrimoF,
IF($Q32=":",PrimoF/SecondoF,
IF($Q32="+",PrimoF+SecondoF,
IF($Q32="-",PrimoF-SecondoF,
PrimoF*SecondoF)))),0)</f>
        <v>0</v>
      </c>
      <c r="AE32" s="25" cm="1">
        <f t="array" ref="AE32">IFERROR(+IF($P32=$S32,PrimoF,
IF($Q32=":",PrimoF/SecondoF,
IF($Q32="+",PrimoF+SecondoF,
IF($Q32="-",PrimoF-SecondoF,
PrimoF*SecondoF)))),0)</f>
        <v>0</v>
      </c>
      <c r="AF32" s="26">
        <f t="shared" si="5"/>
        <v>0</v>
      </c>
      <c r="AI32" s="4">
        <f>+IF(OR(AI31=0,AI31+1&gt;MAX(DatiExtra[NDPRG])),0,AI31+1)</f>
        <v>0</v>
      </c>
      <c r="AJ32" s="6" t="str">
        <f>+IF(AI32&gt;0,VLOOKUP(AI32,DatiExtra[[NDPRG]:[Ndata]],2,0),"")</f>
        <v/>
      </c>
    </row>
    <row r="33" spans="4:36" x14ac:dyDescent="0.2">
      <c r="D33" s="8" t="s">
        <v>19</v>
      </c>
      <c r="E33" s="13" t="str">
        <f>+IF(DatiExtra[[#This Row],[Cod Fattore]]="","",VLOOKUP(DatiExtra[[#This Row],[Cod Fattore]],ElencoKPI[],2,0))</f>
        <v>Numero nuovi cliente</v>
      </c>
      <c r="F33" s="28">
        <v>50</v>
      </c>
      <c r="G33" s="15">
        <v>45291</v>
      </c>
      <c r="H33" s="8" t="b">
        <v>1</v>
      </c>
      <c r="I33" s="13" t="str">
        <f>+IF(DatiExtra[[#This Row],[Budget]],"Budget","Consuntivo")</f>
        <v>Budget</v>
      </c>
      <c r="J33" s="3">
        <f>+(COUNTIF($G$5:G33,DatiExtra[[#This Row],[Data]])=1)*1</f>
        <v>0</v>
      </c>
      <c r="K33" s="3">
        <f>+SUM($J$5:J33)*(DatiExtra[[#This Row],[ND]]=1)</f>
        <v>0</v>
      </c>
      <c r="L33" s="6" t="str">
        <f>+IF(DatiExtra[[#This Row],[NDPRG]]&gt;0,DatiExtra[[#This Row],[Data]],"")</f>
        <v/>
      </c>
      <c r="M33" s="6"/>
      <c r="N33" s="19">
        <v>27</v>
      </c>
      <c r="O33" s="29"/>
      <c r="P33" s="7"/>
      <c r="Q33" s="30"/>
      <c r="R33" s="7"/>
      <c r="S33" s="31" t="str">
        <f t="shared" si="1"/>
        <v/>
      </c>
      <c r="T33" s="7"/>
      <c r="U33" s="24" cm="1">
        <f t="array" ref="U33">IFERROR(+IF($P33=$S33,PrimoF,
IF($Q33=":",PrimoF/SecondoF,
IF($Q33="+",PrimoF+SecondoF,
IF($Q33="-",PrimoF-SecondoF,
PrimoF*SecondoF)))),0)</f>
        <v>0</v>
      </c>
      <c r="V33" s="25" cm="1">
        <f t="array" ref="V33">IFERROR(+IF($P33=$S33,PrimoF,
IF($Q33=":",PrimoF/SecondoF,
IF($Q33="+",PrimoF+SecondoF,
IF($Q33="-",PrimoF-SecondoF,
PrimoF*SecondoF)))),0)</f>
        <v>0</v>
      </c>
      <c r="W33" s="26">
        <f t="shared" si="2"/>
        <v>0</v>
      </c>
      <c r="X33" s="27" cm="1">
        <f t="array" ref="X33">IFERROR(+IF($P33=$S33,PrimoF,
IF($Q33=":",PrimoF/SecondoF,
IF($Q33="+",PrimoF+SecondoF,
IF($Q33="-",PrimoF-SecondoF,
PrimoF*SecondoF)))),0)</f>
        <v>0</v>
      </c>
      <c r="Y33" s="25" cm="1">
        <f t="array" ref="Y33">IFERROR(+IF($P33=$S33,PrimoF,
IF($Q33=":",PrimoF/SecondoF,
IF($Q33="+",PrimoF+SecondoF,
IF($Q33="-",PrimoF-SecondoF,
PrimoF*SecondoF)))),0)</f>
        <v>0</v>
      </c>
      <c r="Z33" s="26">
        <f t="shared" si="3"/>
        <v>0</v>
      </c>
      <c r="AA33" s="27" cm="1">
        <f t="array" ref="AA33">+IFERROR(IF($P33=$S33,PrimoF,
IF($Q33=":",PrimoF/SecondoF,
IF($Q33="+",PrimoF+SecondoF,
IF($Q33="-",PrimoF-SecondoF,
PrimoF*SecondoF)))),0)</f>
        <v>0</v>
      </c>
      <c r="AB33" s="25" cm="1">
        <f t="array" ref="AB33">IFERROR(+IF($P33=$S33,PrimoF,
IF($Q33=":",PrimoF/SecondoF,
IF($Q33="+",PrimoF+SecondoF,
IF($Q33="-",PrimoF-SecondoF,
PrimoF*SecondoF)))),0)</f>
        <v>0</v>
      </c>
      <c r="AC33" s="26">
        <f t="shared" si="4"/>
        <v>0</v>
      </c>
      <c r="AD33" s="27" cm="1">
        <f t="array" ref="AD33">IFERROR(+IF($P33=$S33,PrimoF,
IF($Q33=":",PrimoF/SecondoF,
IF($Q33="+",PrimoF+SecondoF,
IF($Q33="-",PrimoF-SecondoF,
PrimoF*SecondoF)))),0)</f>
        <v>0</v>
      </c>
      <c r="AE33" s="25" cm="1">
        <f t="array" ref="AE33">IFERROR(+IF($P33=$S33,PrimoF,
IF($Q33=":",PrimoF/SecondoF,
IF($Q33="+",PrimoF+SecondoF,
IF($Q33="-",PrimoF-SecondoF,
PrimoF*SecondoF)))),0)</f>
        <v>0</v>
      </c>
      <c r="AF33" s="26">
        <f t="shared" si="5"/>
        <v>0</v>
      </c>
      <c r="AI33" s="4">
        <f>+IF(OR(AI32=0,AI32+1&gt;MAX(DatiExtra[NDPRG])),0,AI32+1)</f>
        <v>0</v>
      </c>
      <c r="AJ33" s="6" t="str">
        <f>+IF(AI33&gt;0,VLOOKUP(AI33,DatiExtra[[NDPRG]:[Ndata]],2,0),"")</f>
        <v/>
      </c>
    </row>
    <row r="34" spans="4:36" x14ac:dyDescent="0.2">
      <c r="D34" s="8" t="s">
        <v>7</v>
      </c>
      <c r="E34" s="13" t="str">
        <f>+IF(DatiExtra[[#This Row],[Cod Fattore]]="","",VLOOKUP(DatiExtra[[#This Row],[Cod Fattore]],ElencoKPI[],2,0))</f>
        <v>Dipendenti</v>
      </c>
      <c r="F34" s="28">
        <v>104</v>
      </c>
      <c r="G34" s="15">
        <v>45016</v>
      </c>
      <c r="H34" s="8"/>
      <c r="I34" s="13" t="str">
        <f>+IF(DatiExtra[[#This Row],[Budget]],"Budget","Consuntivo")</f>
        <v>Consuntivo</v>
      </c>
      <c r="J34" s="3">
        <f>+(COUNTIF($G$5:G34,DatiExtra[[#This Row],[Data]])=1)*1</f>
        <v>0</v>
      </c>
      <c r="K34" s="3">
        <f>+SUM($J$5:J34)*(DatiExtra[[#This Row],[ND]]=1)</f>
        <v>0</v>
      </c>
      <c r="L34" s="6" t="str">
        <f>+IF(DatiExtra[[#This Row],[NDPRG]]&gt;0,DatiExtra[[#This Row],[Data]],"")</f>
        <v/>
      </c>
      <c r="M34" s="6"/>
      <c r="N34" s="19">
        <v>28</v>
      </c>
      <c r="O34" s="29"/>
      <c r="P34" s="7"/>
      <c r="Q34" s="30"/>
      <c r="R34" s="7"/>
      <c r="S34" s="31" t="str">
        <f t="shared" si="1"/>
        <v/>
      </c>
      <c r="T34" s="7"/>
      <c r="U34" s="24" cm="1">
        <f t="array" ref="U34">IFERROR(+IF($P34=$S34,PrimoF,
IF($Q34=":",PrimoF/SecondoF,
IF($Q34="+",PrimoF+SecondoF,
IF($Q34="-",PrimoF-SecondoF,
PrimoF*SecondoF)))),0)</f>
        <v>0</v>
      </c>
      <c r="V34" s="25" cm="1">
        <f t="array" ref="V34">IFERROR(+IF($P34=$S34,PrimoF,
IF($Q34=":",PrimoF/SecondoF,
IF($Q34="+",PrimoF+SecondoF,
IF($Q34="-",PrimoF-SecondoF,
PrimoF*SecondoF)))),0)</f>
        <v>0</v>
      </c>
      <c r="W34" s="26">
        <f t="shared" si="2"/>
        <v>0</v>
      </c>
      <c r="X34" s="27" cm="1">
        <f t="array" ref="X34">IFERROR(+IF($P34=$S34,PrimoF,
IF($Q34=":",PrimoF/SecondoF,
IF($Q34="+",PrimoF+SecondoF,
IF($Q34="-",PrimoF-SecondoF,
PrimoF*SecondoF)))),0)</f>
        <v>0</v>
      </c>
      <c r="Y34" s="25" cm="1">
        <f t="array" ref="Y34">IFERROR(+IF($P34=$S34,PrimoF,
IF($Q34=":",PrimoF/SecondoF,
IF($Q34="+",PrimoF+SecondoF,
IF($Q34="-",PrimoF-SecondoF,
PrimoF*SecondoF)))),0)</f>
        <v>0</v>
      </c>
      <c r="Z34" s="26">
        <f t="shared" si="3"/>
        <v>0</v>
      </c>
      <c r="AA34" s="27" cm="1">
        <f t="array" ref="AA34">+IFERROR(IF($P34=$S34,PrimoF,
IF($Q34=":",PrimoF/SecondoF,
IF($Q34="+",PrimoF+SecondoF,
IF($Q34="-",PrimoF-SecondoF,
PrimoF*SecondoF)))),0)</f>
        <v>0</v>
      </c>
      <c r="AB34" s="25" cm="1">
        <f t="array" ref="AB34">IFERROR(+IF($P34=$S34,PrimoF,
IF($Q34=":",PrimoF/SecondoF,
IF($Q34="+",PrimoF+SecondoF,
IF($Q34="-",PrimoF-SecondoF,
PrimoF*SecondoF)))),0)</f>
        <v>0</v>
      </c>
      <c r="AC34" s="26">
        <f t="shared" si="4"/>
        <v>0</v>
      </c>
      <c r="AD34" s="27" cm="1">
        <f t="array" ref="AD34">IFERROR(+IF($P34=$S34,PrimoF,
IF($Q34=":",PrimoF/SecondoF,
IF($Q34="+",PrimoF+SecondoF,
IF($Q34="-",PrimoF-SecondoF,
PrimoF*SecondoF)))),0)</f>
        <v>0</v>
      </c>
      <c r="AE34" s="25" cm="1">
        <f t="array" ref="AE34">IFERROR(+IF($P34=$S34,PrimoF,
IF($Q34=":",PrimoF/SecondoF,
IF($Q34="+",PrimoF+SecondoF,
IF($Q34="-",PrimoF-SecondoF,
PrimoF*SecondoF)))),0)</f>
        <v>0</v>
      </c>
      <c r="AF34" s="26">
        <f t="shared" si="5"/>
        <v>0</v>
      </c>
      <c r="AI34" s="4">
        <f>+IF(OR(AI33=0,AI33+1&gt;MAX(DatiExtra[NDPRG])),0,AI33+1)</f>
        <v>0</v>
      </c>
      <c r="AJ34" s="6" t="str">
        <f>+IF(AI34&gt;0,VLOOKUP(AI34,DatiExtra[[NDPRG]:[Ndata]],2,0),"")</f>
        <v/>
      </c>
    </row>
    <row r="35" spans="4:36" x14ac:dyDescent="0.2">
      <c r="D35" s="8" t="s">
        <v>7</v>
      </c>
      <c r="E35" s="13" t="str">
        <f>+IF(DatiExtra[[#This Row],[Cod Fattore]]="","",VLOOKUP(DatiExtra[[#This Row],[Cod Fattore]],ElencoKPI[],2,0))</f>
        <v>Dipendenti</v>
      </c>
      <c r="F35" s="28">
        <v>97.9</v>
      </c>
      <c r="G35" s="15">
        <v>45107</v>
      </c>
      <c r="H35" s="8"/>
      <c r="I35" s="13" t="str">
        <f>+IF(DatiExtra[[#This Row],[Budget]],"Budget","Consuntivo")</f>
        <v>Consuntivo</v>
      </c>
      <c r="J35" s="3">
        <f>+(COUNTIF($G$5:G35,DatiExtra[[#This Row],[Data]])=1)*1</f>
        <v>0</v>
      </c>
      <c r="K35" s="3">
        <f>+SUM($J$5:J35)*(DatiExtra[[#This Row],[ND]]=1)</f>
        <v>0</v>
      </c>
      <c r="L35" s="6" t="str">
        <f>+IF(DatiExtra[[#This Row],[NDPRG]]&gt;0,DatiExtra[[#This Row],[Data]],"")</f>
        <v/>
      </c>
      <c r="M35" s="6"/>
      <c r="N35" s="19">
        <v>29</v>
      </c>
      <c r="O35" s="29"/>
      <c r="P35" s="7"/>
      <c r="Q35" s="30"/>
      <c r="R35" s="7"/>
      <c r="S35" s="31" t="str">
        <f t="shared" si="1"/>
        <v/>
      </c>
      <c r="T35" s="7"/>
      <c r="U35" s="24" cm="1">
        <f t="array" ref="U35">IFERROR(+IF($P35=$S35,PrimoF,
IF($Q35=":",PrimoF/SecondoF,
IF($Q35="+",PrimoF+SecondoF,
IF($Q35="-",PrimoF-SecondoF,
PrimoF*SecondoF)))),0)</f>
        <v>0</v>
      </c>
      <c r="V35" s="25" cm="1">
        <f t="array" ref="V35">IFERROR(+IF($P35=$S35,PrimoF,
IF($Q35=":",PrimoF/SecondoF,
IF($Q35="+",PrimoF+SecondoF,
IF($Q35="-",PrimoF-SecondoF,
PrimoF*SecondoF)))),0)</f>
        <v>0</v>
      </c>
      <c r="W35" s="26">
        <f t="shared" si="2"/>
        <v>0</v>
      </c>
      <c r="X35" s="27" cm="1">
        <f t="array" ref="X35">IFERROR(+IF($P35=$S35,PrimoF,
IF($Q35=":",PrimoF/SecondoF,
IF($Q35="+",PrimoF+SecondoF,
IF($Q35="-",PrimoF-SecondoF,
PrimoF*SecondoF)))),0)</f>
        <v>0</v>
      </c>
      <c r="Y35" s="25" cm="1">
        <f t="array" ref="Y35">IFERROR(+IF($P35=$S35,PrimoF,
IF($Q35=":",PrimoF/SecondoF,
IF($Q35="+",PrimoF+SecondoF,
IF($Q35="-",PrimoF-SecondoF,
PrimoF*SecondoF)))),0)</f>
        <v>0</v>
      </c>
      <c r="Z35" s="26">
        <f t="shared" si="3"/>
        <v>0</v>
      </c>
      <c r="AA35" s="27" cm="1">
        <f t="array" ref="AA35">+IFERROR(IF($P35=$S35,PrimoF,
IF($Q35=":",PrimoF/SecondoF,
IF($Q35="+",PrimoF+SecondoF,
IF($Q35="-",PrimoF-SecondoF,
PrimoF*SecondoF)))),0)</f>
        <v>0</v>
      </c>
      <c r="AB35" s="25" cm="1">
        <f t="array" ref="AB35">IFERROR(+IF($P35=$S35,PrimoF,
IF($Q35=":",PrimoF/SecondoF,
IF($Q35="+",PrimoF+SecondoF,
IF($Q35="-",PrimoF-SecondoF,
PrimoF*SecondoF)))),0)</f>
        <v>0</v>
      </c>
      <c r="AC35" s="26">
        <f t="shared" si="4"/>
        <v>0</v>
      </c>
      <c r="AD35" s="27" cm="1">
        <f t="array" ref="AD35">IFERROR(+IF($P35=$S35,PrimoF,
IF($Q35=":",PrimoF/SecondoF,
IF($Q35="+",PrimoF+SecondoF,
IF($Q35="-",PrimoF-SecondoF,
PrimoF*SecondoF)))),0)</f>
        <v>0</v>
      </c>
      <c r="AE35" s="25" cm="1">
        <f t="array" ref="AE35">IFERROR(+IF($P35=$S35,PrimoF,
IF($Q35=":",PrimoF/SecondoF,
IF($Q35="+",PrimoF+SecondoF,
IF($Q35="-",PrimoF-SecondoF,
PrimoF*SecondoF)))),0)</f>
        <v>0</v>
      </c>
      <c r="AF35" s="26">
        <f t="shared" si="5"/>
        <v>0</v>
      </c>
      <c r="AI35" s="4">
        <f>+IF(OR(AI34=0,AI34+1&gt;MAX(DatiExtra[NDPRG])),0,AI34+1)</f>
        <v>0</v>
      </c>
      <c r="AJ35" s="6" t="str">
        <f>+IF(AI35&gt;0,VLOOKUP(AI35,DatiExtra[[NDPRG]:[Ndata]],2,0),"")</f>
        <v/>
      </c>
    </row>
    <row r="36" spans="4:36" x14ac:dyDescent="0.2">
      <c r="D36" s="8" t="s">
        <v>7</v>
      </c>
      <c r="E36" s="13" t="str">
        <f>+IF(DatiExtra[[#This Row],[Cod Fattore]]="","",VLOOKUP(DatiExtra[[#This Row],[Cod Fattore]],ElencoKPI[],2,0))</f>
        <v>Dipendenti</v>
      </c>
      <c r="F36" s="28">
        <v>117.3</v>
      </c>
      <c r="G36" s="15">
        <v>45199</v>
      </c>
      <c r="H36" s="8"/>
      <c r="I36" s="13" t="str">
        <f>+IF(DatiExtra[[#This Row],[Budget]],"Budget","Consuntivo")</f>
        <v>Consuntivo</v>
      </c>
      <c r="J36" s="3">
        <f>+(COUNTIF($G$5:G36,DatiExtra[[#This Row],[Data]])=1)*1</f>
        <v>0</v>
      </c>
      <c r="K36" s="3">
        <f>+SUM($J$5:J36)*(DatiExtra[[#This Row],[ND]]=1)</f>
        <v>0</v>
      </c>
      <c r="L36" s="6" t="str">
        <f>+IF(DatiExtra[[#This Row],[NDPRG]]&gt;0,DatiExtra[[#This Row],[Data]],"")</f>
        <v/>
      </c>
      <c r="M36" s="6"/>
      <c r="N36" s="19">
        <v>30</v>
      </c>
      <c r="O36" s="29"/>
      <c r="P36" s="7"/>
      <c r="Q36" s="30"/>
      <c r="R36" s="7"/>
      <c r="S36" s="31" t="str">
        <f t="shared" si="1"/>
        <v/>
      </c>
      <c r="T36" s="7"/>
      <c r="U36" s="24" cm="1">
        <f t="array" ref="U36">IFERROR(+IF($P36=$S36,PrimoF,
IF($Q36=":",PrimoF/SecondoF,
IF($Q36="+",PrimoF+SecondoF,
IF($Q36="-",PrimoF-SecondoF,
PrimoF*SecondoF)))),0)</f>
        <v>0</v>
      </c>
      <c r="V36" s="25" cm="1">
        <f t="array" ref="V36">IFERROR(+IF($P36=$S36,PrimoF,
IF($Q36=":",PrimoF/SecondoF,
IF($Q36="+",PrimoF+SecondoF,
IF($Q36="-",PrimoF-SecondoF,
PrimoF*SecondoF)))),0)</f>
        <v>0</v>
      </c>
      <c r="W36" s="26">
        <f t="shared" si="2"/>
        <v>0</v>
      </c>
      <c r="X36" s="27" cm="1">
        <f t="array" ref="X36">IFERROR(+IF($P36=$S36,PrimoF,
IF($Q36=":",PrimoF/SecondoF,
IF($Q36="+",PrimoF+SecondoF,
IF($Q36="-",PrimoF-SecondoF,
PrimoF*SecondoF)))),0)</f>
        <v>0</v>
      </c>
      <c r="Y36" s="25" cm="1">
        <f t="array" ref="Y36">IFERROR(+IF($P36=$S36,PrimoF,
IF($Q36=":",PrimoF/SecondoF,
IF($Q36="+",PrimoF+SecondoF,
IF($Q36="-",PrimoF-SecondoF,
PrimoF*SecondoF)))),0)</f>
        <v>0</v>
      </c>
      <c r="Z36" s="26">
        <f t="shared" si="3"/>
        <v>0</v>
      </c>
      <c r="AA36" s="27" cm="1">
        <f t="array" ref="AA36">+IFERROR(IF($P36=$S36,PrimoF,
IF($Q36=":",PrimoF/SecondoF,
IF($Q36="+",PrimoF+SecondoF,
IF($Q36="-",PrimoF-SecondoF,
PrimoF*SecondoF)))),0)</f>
        <v>0</v>
      </c>
      <c r="AB36" s="25" cm="1">
        <f t="array" ref="AB36">IFERROR(+IF($P36=$S36,PrimoF,
IF($Q36=":",PrimoF/SecondoF,
IF($Q36="+",PrimoF+SecondoF,
IF($Q36="-",PrimoF-SecondoF,
PrimoF*SecondoF)))),0)</f>
        <v>0</v>
      </c>
      <c r="AC36" s="26">
        <f t="shared" si="4"/>
        <v>0</v>
      </c>
      <c r="AD36" s="27" cm="1">
        <f t="array" ref="AD36">IFERROR(+IF($P36=$S36,PrimoF,
IF($Q36=":",PrimoF/SecondoF,
IF($Q36="+",PrimoF+SecondoF,
IF($Q36="-",PrimoF-SecondoF,
PrimoF*SecondoF)))),0)</f>
        <v>0</v>
      </c>
      <c r="AE36" s="25" cm="1">
        <f t="array" ref="AE36">IFERROR(+IF($P36=$S36,PrimoF,
IF($Q36=":",PrimoF/SecondoF,
IF($Q36="+",PrimoF+SecondoF,
IF($Q36="-",PrimoF-SecondoF,
PrimoF*SecondoF)))),0)</f>
        <v>0</v>
      </c>
      <c r="AF36" s="26">
        <f t="shared" si="5"/>
        <v>0</v>
      </c>
      <c r="AI36" s="4">
        <f>+IF(OR(AI35=0,AI35+1&gt;MAX(DatiExtra[NDPRG])),0,AI35+1)</f>
        <v>0</v>
      </c>
      <c r="AJ36" s="6" t="str">
        <f>+IF(AI36&gt;0,VLOOKUP(AI36,DatiExtra[[NDPRG]:[Ndata]],2,0),"")</f>
        <v/>
      </c>
    </row>
    <row r="37" spans="4:36" x14ac:dyDescent="0.2">
      <c r="D37" s="8" t="s">
        <v>7</v>
      </c>
      <c r="E37" s="13" t="str">
        <f>+IF(DatiExtra[[#This Row],[Cod Fattore]]="","",VLOOKUP(DatiExtra[[#This Row],[Cod Fattore]],ElencoKPI[],2,0))</f>
        <v>Dipendenti</v>
      </c>
      <c r="F37" s="28">
        <v>94.3</v>
      </c>
      <c r="G37" s="15">
        <v>45291</v>
      </c>
      <c r="H37" s="8"/>
      <c r="I37" s="13" t="str">
        <f>+IF(DatiExtra[[#This Row],[Budget]],"Budget","Consuntivo")</f>
        <v>Consuntivo</v>
      </c>
      <c r="J37" s="3">
        <f>+(COUNTIF($G$5:G37,DatiExtra[[#This Row],[Data]])=1)*1</f>
        <v>0</v>
      </c>
      <c r="K37" s="3">
        <f>+SUM($J$5:J37)*(DatiExtra[[#This Row],[ND]]=1)</f>
        <v>0</v>
      </c>
      <c r="L37" s="6" t="str">
        <f>+IF(DatiExtra[[#This Row],[NDPRG]]&gt;0,DatiExtra[[#This Row],[Data]],"")</f>
        <v/>
      </c>
      <c r="M37" s="6"/>
      <c r="N37" s="19">
        <v>31</v>
      </c>
      <c r="O37" s="29"/>
      <c r="P37" s="7"/>
      <c r="Q37" s="30"/>
      <c r="R37" s="7"/>
      <c r="S37" s="31" t="str">
        <f t="shared" si="1"/>
        <v/>
      </c>
      <c r="T37" s="7"/>
      <c r="U37" s="24" cm="1">
        <f t="array" ref="U37">IFERROR(+IF($P37=$S37,PrimoF,
IF($Q37=":",PrimoF/SecondoF,
IF($Q37="+",PrimoF+SecondoF,
IF($Q37="-",PrimoF-SecondoF,
PrimoF*SecondoF)))),0)</f>
        <v>0</v>
      </c>
      <c r="V37" s="25" cm="1">
        <f t="array" ref="V37">IFERROR(+IF($P37=$S37,PrimoF,
IF($Q37=":",PrimoF/SecondoF,
IF($Q37="+",PrimoF+SecondoF,
IF($Q37="-",PrimoF-SecondoF,
PrimoF*SecondoF)))),0)</f>
        <v>0</v>
      </c>
      <c r="W37" s="26">
        <f t="shared" si="2"/>
        <v>0</v>
      </c>
      <c r="X37" s="27" cm="1">
        <f t="array" ref="X37">IFERROR(+IF($P37=$S37,PrimoF,
IF($Q37=":",PrimoF/SecondoF,
IF($Q37="+",PrimoF+SecondoF,
IF($Q37="-",PrimoF-SecondoF,
PrimoF*SecondoF)))),0)</f>
        <v>0</v>
      </c>
      <c r="Y37" s="25" cm="1">
        <f t="array" ref="Y37">IFERROR(+IF($P37=$S37,PrimoF,
IF($Q37=":",PrimoF/SecondoF,
IF($Q37="+",PrimoF+SecondoF,
IF($Q37="-",PrimoF-SecondoF,
PrimoF*SecondoF)))),0)</f>
        <v>0</v>
      </c>
      <c r="Z37" s="26">
        <f t="shared" si="3"/>
        <v>0</v>
      </c>
      <c r="AA37" s="27" cm="1">
        <f t="array" ref="AA37">+IFERROR(IF($P37=$S37,PrimoF,
IF($Q37=":",PrimoF/SecondoF,
IF($Q37="+",PrimoF+SecondoF,
IF($Q37="-",PrimoF-SecondoF,
PrimoF*SecondoF)))),0)</f>
        <v>0</v>
      </c>
      <c r="AB37" s="25" cm="1">
        <f t="array" ref="AB37">IFERROR(+IF($P37=$S37,PrimoF,
IF($Q37=":",PrimoF/SecondoF,
IF($Q37="+",PrimoF+SecondoF,
IF($Q37="-",PrimoF-SecondoF,
PrimoF*SecondoF)))),0)</f>
        <v>0</v>
      </c>
      <c r="AC37" s="26">
        <f t="shared" si="4"/>
        <v>0</v>
      </c>
      <c r="AD37" s="27" cm="1">
        <f t="array" ref="AD37">IFERROR(+IF($P37=$S37,PrimoF,
IF($Q37=":",PrimoF/SecondoF,
IF($Q37="+",PrimoF+SecondoF,
IF($Q37="-",PrimoF-SecondoF,
PrimoF*SecondoF)))),0)</f>
        <v>0</v>
      </c>
      <c r="AE37" s="25" cm="1">
        <f t="array" ref="AE37">IFERROR(+IF($P37=$S37,PrimoF,
IF($Q37=":",PrimoF/SecondoF,
IF($Q37="+",PrimoF+SecondoF,
IF($Q37="-",PrimoF-SecondoF,
PrimoF*SecondoF)))),0)</f>
        <v>0</v>
      </c>
      <c r="AF37" s="26">
        <f t="shared" si="5"/>
        <v>0</v>
      </c>
      <c r="AI37" s="4">
        <f>+IF(OR(AI36=0,AI36+1&gt;MAX(DatiExtra[NDPRG])),0,AI36+1)</f>
        <v>0</v>
      </c>
      <c r="AJ37" s="6" t="str">
        <f>+IF(AI37&gt;0,VLOOKUP(AI37,DatiExtra[[NDPRG]:[Ndata]],2,0),"")</f>
        <v/>
      </c>
    </row>
    <row r="38" spans="4:36" x14ac:dyDescent="0.2">
      <c r="D38" s="8" t="s">
        <v>9</v>
      </c>
      <c r="E38" s="13" t="str">
        <f>+IF(DatiExtra[[#This Row],[Cod Fattore]]="","",VLOOKUP(DatiExtra[[#This Row],[Cod Fattore]],ElencoKPI[],2,0))</f>
        <v>Qta Venduta</v>
      </c>
      <c r="F38" s="28">
        <v>88000</v>
      </c>
      <c r="G38" s="15">
        <v>45016</v>
      </c>
      <c r="H38" s="8"/>
      <c r="I38" s="13" t="str">
        <f>+IF(DatiExtra[[#This Row],[Budget]],"Budget","Consuntivo")</f>
        <v>Consuntivo</v>
      </c>
      <c r="J38" s="3">
        <f>+(COUNTIF($G$5:G38,DatiExtra[[#This Row],[Data]])=1)*1</f>
        <v>0</v>
      </c>
      <c r="K38" s="3">
        <f>+SUM($J$5:J38)*(DatiExtra[[#This Row],[ND]]=1)</f>
        <v>0</v>
      </c>
      <c r="L38" s="6" t="str">
        <f>+IF(DatiExtra[[#This Row],[NDPRG]]&gt;0,DatiExtra[[#This Row],[Data]],"")</f>
        <v/>
      </c>
      <c r="M38" s="6"/>
      <c r="N38" s="19">
        <v>32</v>
      </c>
      <c r="O38" s="29"/>
      <c r="P38" s="7"/>
      <c r="Q38" s="30"/>
      <c r="R38" s="7"/>
      <c r="S38" s="31" t="str">
        <f t="shared" si="1"/>
        <v/>
      </c>
      <c r="T38" s="7"/>
      <c r="U38" s="24" cm="1">
        <f t="array" ref="U38">IFERROR(+IF($P38=$S38,PrimoF,
IF($Q38=":",PrimoF/SecondoF,
IF($Q38="+",PrimoF+SecondoF,
IF($Q38="-",PrimoF-SecondoF,
PrimoF*SecondoF)))),0)</f>
        <v>0</v>
      </c>
      <c r="V38" s="25" cm="1">
        <f t="array" ref="V38">IFERROR(+IF($P38=$S38,PrimoF,
IF($Q38=":",PrimoF/SecondoF,
IF($Q38="+",PrimoF+SecondoF,
IF($Q38="-",PrimoF-SecondoF,
PrimoF*SecondoF)))),0)</f>
        <v>0</v>
      </c>
      <c r="W38" s="26">
        <f t="shared" si="2"/>
        <v>0</v>
      </c>
      <c r="X38" s="27" cm="1">
        <f t="array" ref="X38">IFERROR(+IF($P38=$S38,PrimoF,
IF($Q38=":",PrimoF/SecondoF,
IF($Q38="+",PrimoF+SecondoF,
IF($Q38="-",PrimoF-SecondoF,
PrimoF*SecondoF)))),0)</f>
        <v>0</v>
      </c>
      <c r="Y38" s="25" cm="1">
        <f t="array" ref="Y38">IFERROR(+IF($P38=$S38,PrimoF,
IF($Q38=":",PrimoF/SecondoF,
IF($Q38="+",PrimoF+SecondoF,
IF($Q38="-",PrimoF-SecondoF,
PrimoF*SecondoF)))),0)</f>
        <v>0</v>
      </c>
      <c r="Z38" s="26">
        <f t="shared" si="3"/>
        <v>0</v>
      </c>
      <c r="AA38" s="27" cm="1">
        <f t="array" ref="AA38">+IFERROR(IF($P38=$S38,PrimoF,
IF($Q38=":",PrimoF/SecondoF,
IF($Q38="+",PrimoF+SecondoF,
IF($Q38="-",PrimoF-SecondoF,
PrimoF*SecondoF)))),0)</f>
        <v>0</v>
      </c>
      <c r="AB38" s="25" cm="1">
        <f t="array" ref="AB38">IFERROR(+IF($P38=$S38,PrimoF,
IF($Q38=":",PrimoF/SecondoF,
IF($Q38="+",PrimoF+SecondoF,
IF($Q38="-",PrimoF-SecondoF,
PrimoF*SecondoF)))),0)</f>
        <v>0</v>
      </c>
      <c r="AC38" s="26">
        <f t="shared" si="4"/>
        <v>0</v>
      </c>
      <c r="AD38" s="27" cm="1">
        <f t="array" ref="AD38">IFERROR(+IF($P38=$S38,PrimoF,
IF($Q38=":",PrimoF/SecondoF,
IF($Q38="+",PrimoF+SecondoF,
IF($Q38="-",PrimoF-SecondoF,
PrimoF*SecondoF)))),0)</f>
        <v>0</v>
      </c>
      <c r="AE38" s="25" cm="1">
        <f t="array" ref="AE38">IFERROR(+IF($P38=$S38,PrimoF,
IF($Q38=":",PrimoF/SecondoF,
IF($Q38="+",PrimoF+SecondoF,
IF($Q38="-",PrimoF-SecondoF,
PrimoF*SecondoF)))),0)</f>
        <v>0</v>
      </c>
      <c r="AF38" s="26">
        <f t="shared" si="5"/>
        <v>0</v>
      </c>
      <c r="AI38" s="4">
        <f>+IF(OR(AI37=0,AI37+1&gt;MAX(DatiExtra[NDPRG])),0,AI37+1)</f>
        <v>0</v>
      </c>
      <c r="AJ38" s="6" t="str">
        <f>+IF(AI38&gt;0,VLOOKUP(AI38,DatiExtra[[NDPRG]:[Ndata]],2,0),"")</f>
        <v/>
      </c>
    </row>
    <row r="39" spans="4:36" x14ac:dyDescent="0.2">
      <c r="D39" s="8" t="s">
        <v>9</v>
      </c>
      <c r="E39" s="13" t="str">
        <f>+IF(DatiExtra[[#This Row],[Cod Fattore]]="","",VLOOKUP(DatiExtra[[#This Row],[Cod Fattore]],ElencoKPI[],2,0))</f>
        <v>Qta Venduta</v>
      </c>
      <c r="F39" s="28">
        <v>117600</v>
      </c>
      <c r="G39" s="15">
        <v>45107</v>
      </c>
      <c r="H39" s="8"/>
      <c r="I39" s="13" t="str">
        <f>+IF(DatiExtra[[#This Row],[Budget]],"Budget","Consuntivo")</f>
        <v>Consuntivo</v>
      </c>
      <c r="J39" s="3">
        <f>+(COUNTIF($G$5:G39,DatiExtra[[#This Row],[Data]])=1)*1</f>
        <v>0</v>
      </c>
      <c r="K39" s="3">
        <f>+SUM($J$5:J39)*(DatiExtra[[#This Row],[ND]]=1)</f>
        <v>0</v>
      </c>
      <c r="L39" s="6" t="str">
        <f>+IF(DatiExtra[[#This Row],[NDPRG]]&gt;0,DatiExtra[[#This Row],[Data]],"")</f>
        <v/>
      </c>
      <c r="M39" s="6"/>
      <c r="N39" s="19">
        <v>33</v>
      </c>
      <c r="O39" s="29"/>
      <c r="P39" s="7"/>
      <c r="Q39" s="30"/>
      <c r="R39" s="7"/>
      <c r="S39" s="31" t="str">
        <f t="shared" si="1"/>
        <v/>
      </c>
      <c r="T39" s="7"/>
      <c r="U39" s="24" cm="1">
        <f t="array" ref="U39">IFERROR(+IF($P39=$S39,PrimoF,
IF($Q39=":",PrimoF/SecondoF,
IF($Q39="+",PrimoF+SecondoF,
IF($Q39="-",PrimoF-SecondoF,
PrimoF*SecondoF)))),0)</f>
        <v>0</v>
      </c>
      <c r="V39" s="25" cm="1">
        <f t="array" ref="V39">IFERROR(+IF($P39=$S39,PrimoF,
IF($Q39=":",PrimoF/SecondoF,
IF($Q39="+",PrimoF+SecondoF,
IF($Q39="-",PrimoF-SecondoF,
PrimoF*SecondoF)))),0)</f>
        <v>0</v>
      </c>
      <c r="W39" s="26">
        <f t="shared" si="2"/>
        <v>0</v>
      </c>
      <c r="X39" s="27" cm="1">
        <f t="array" ref="X39">IFERROR(+IF($P39=$S39,PrimoF,
IF($Q39=":",PrimoF/SecondoF,
IF($Q39="+",PrimoF+SecondoF,
IF($Q39="-",PrimoF-SecondoF,
PrimoF*SecondoF)))),0)</f>
        <v>0</v>
      </c>
      <c r="Y39" s="25" cm="1">
        <f t="array" ref="Y39">IFERROR(+IF($P39=$S39,PrimoF,
IF($Q39=":",PrimoF/SecondoF,
IF($Q39="+",PrimoF+SecondoF,
IF($Q39="-",PrimoF-SecondoF,
PrimoF*SecondoF)))),0)</f>
        <v>0</v>
      </c>
      <c r="Z39" s="26">
        <f t="shared" si="3"/>
        <v>0</v>
      </c>
      <c r="AA39" s="27" cm="1">
        <f t="array" ref="AA39">+IFERROR(IF($P39=$S39,PrimoF,
IF($Q39=":",PrimoF/SecondoF,
IF($Q39="+",PrimoF+SecondoF,
IF($Q39="-",PrimoF-SecondoF,
PrimoF*SecondoF)))),0)</f>
        <v>0</v>
      </c>
      <c r="AB39" s="25" cm="1">
        <f t="array" ref="AB39">IFERROR(+IF($P39=$S39,PrimoF,
IF($Q39=":",PrimoF/SecondoF,
IF($Q39="+",PrimoF+SecondoF,
IF($Q39="-",PrimoF-SecondoF,
PrimoF*SecondoF)))),0)</f>
        <v>0</v>
      </c>
      <c r="AC39" s="26">
        <f t="shared" si="4"/>
        <v>0</v>
      </c>
      <c r="AD39" s="27" cm="1">
        <f t="array" ref="AD39">IFERROR(+IF($P39=$S39,PrimoF,
IF($Q39=":",PrimoF/SecondoF,
IF($Q39="+",PrimoF+SecondoF,
IF($Q39="-",PrimoF-SecondoF,
PrimoF*SecondoF)))),0)</f>
        <v>0</v>
      </c>
      <c r="AE39" s="25" cm="1">
        <f t="array" ref="AE39">IFERROR(+IF($P39=$S39,PrimoF,
IF($Q39=":",PrimoF/SecondoF,
IF($Q39="+",PrimoF+SecondoF,
IF($Q39="-",PrimoF-SecondoF,
PrimoF*SecondoF)))),0)</f>
        <v>0</v>
      </c>
      <c r="AF39" s="26">
        <f t="shared" si="5"/>
        <v>0</v>
      </c>
      <c r="AI39" s="4">
        <f>+IF(OR(AI38=0,AI38+1&gt;MAX(DatiExtra[NDPRG])),0,AI38+1)</f>
        <v>0</v>
      </c>
      <c r="AJ39" s="6" t="str">
        <f>+IF(AI39&gt;0,VLOOKUP(AI39,DatiExtra[[NDPRG]:[Ndata]],2,0),"")</f>
        <v/>
      </c>
    </row>
    <row r="40" spans="4:36" x14ac:dyDescent="0.2">
      <c r="D40" s="8" t="s">
        <v>9</v>
      </c>
      <c r="E40" s="13" t="str">
        <f>+IF(DatiExtra[[#This Row],[Cod Fattore]]="","",VLOOKUP(DatiExtra[[#This Row],[Cod Fattore]],ElencoKPI[],2,0))</f>
        <v>Qta Venduta</v>
      </c>
      <c r="F40" s="28">
        <v>93600</v>
      </c>
      <c r="G40" s="15">
        <v>45199</v>
      </c>
      <c r="H40" s="8"/>
      <c r="I40" s="13" t="str">
        <f>+IF(DatiExtra[[#This Row],[Budget]],"Budget","Consuntivo")</f>
        <v>Consuntivo</v>
      </c>
      <c r="J40" s="3">
        <f>+(COUNTIF($G$5:G40,DatiExtra[[#This Row],[Data]])=1)*1</f>
        <v>0</v>
      </c>
      <c r="K40" s="3">
        <f>+SUM($J$5:J40)*(DatiExtra[[#This Row],[ND]]=1)</f>
        <v>0</v>
      </c>
      <c r="L40" s="6" t="str">
        <f>+IF(DatiExtra[[#This Row],[NDPRG]]&gt;0,DatiExtra[[#This Row],[Data]],"")</f>
        <v/>
      </c>
      <c r="M40" s="6"/>
      <c r="N40" s="19">
        <v>34</v>
      </c>
      <c r="O40" s="7"/>
      <c r="P40" s="7"/>
      <c r="Q40" s="7"/>
      <c r="R40" s="7"/>
      <c r="S40" s="31" t="str">
        <f t="shared" si="1"/>
        <v/>
      </c>
      <c r="T40" s="7"/>
      <c r="U40" s="24" cm="1">
        <f t="array" ref="U40">IFERROR(+IF($P40=$S40,PrimoF,
IF($Q40=":",PrimoF/SecondoF,
IF($Q40="+",PrimoF+SecondoF,
IF($Q40="-",PrimoF-SecondoF,
PrimoF*SecondoF)))),0)</f>
        <v>0</v>
      </c>
      <c r="V40" s="25" cm="1">
        <f t="array" ref="V40">IFERROR(+IF($P40=$S40,PrimoF,
IF($Q40=":",PrimoF/SecondoF,
IF($Q40="+",PrimoF+SecondoF,
IF($Q40="-",PrimoF-SecondoF,
PrimoF*SecondoF)))),0)</f>
        <v>0</v>
      </c>
      <c r="W40" s="26">
        <f t="shared" si="2"/>
        <v>0</v>
      </c>
      <c r="X40" s="27" cm="1">
        <f t="array" ref="X40">IFERROR(+IF($P40=$S40,PrimoF,
IF($Q40=":",PrimoF/SecondoF,
IF($Q40="+",PrimoF+SecondoF,
IF($Q40="-",PrimoF-SecondoF,
PrimoF*SecondoF)))),0)</f>
        <v>0</v>
      </c>
      <c r="Y40" s="25" cm="1">
        <f t="array" ref="Y40">IFERROR(+IF($P40=$S40,PrimoF,
IF($Q40=":",PrimoF/SecondoF,
IF($Q40="+",PrimoF+SecondoF,
IF($Q40="-",PrimoF-SecondoF,
PrimoF*SecondoF)))),0)</f>
        <v>0</v>
      </c>
      <c r="Z40" s="26">
        <f t="shared" si="3"/>
        <v>0</v>
      </c>
      <c r="AA40" s="27" cm="1">
        <f t="array" ref="AA40">+IFERROR(IF($P40=$S40,PrimoF,
IF($Q40=":",PrimoF/SecondoF,
IF($Q40="+",PrimoF+SecondoF,
IF($Q40="-",PrimoF-SecondoF,
PrimoF*SecondoF)))),0)</f>
        <v>0</v>
      </c>
      <c r="AB40" s="25" cm="1">
        <f t="array" ref="AB40">IFERROR(+IF($P40=$S40,PrimoF,
IF($Q40=":",PrimoF/SecondoF,
IF($Q40="+",PrimoF+SecondoF,
IF($Q40="-",PrimoF-SecondoF,
PrimoF*SecondoF)))),0)</f>
        <v>0</v>
      </c>
      <c r="AC40" s="26">
        <f t="shared" si="4"/>
        <v>0</v>
      </c>
      <c r="AD40" s="27" cm="1">
        <f t="array" ref="AD40">IFERROR(+IF($P40=$S40,PrimoF,
IF($Q40=":",PrimoF/SecondoF,
IF($Q40="+",PrimoF+SecondoF,
IF($Q40="-",PrimoF-SecondoF,
PrimoF*SecondoF)))),0)</f>
        <v>0</v>
      </c>
      <c r="AE40" s="25" cm="1">
        <f t="array" ref="AE40">IFERROR(+IF($P40=$S40,PrimoF,
IF($Q40=":",PrimoF/SecondoF,
IF($Q40="+",PrimoF+SecondoF,
IF($Q40="-",PrimoF-SecondoF,
PrimoF*SecondoF)))),0)</f>
        <v>0</v>
      </c>
      <c r="AF40" s="26">
        <f t="shared" si="5"/>
        <v>0</v>
      </c>
      <c r="AI40" s="4">
        <f>+IF(OR(AI39=0,AI39+1&gt;MAX(DatiExtra[NDPRG])),0,AI39+1)</f>
        <v>0</v>
      </c>
      <c r="AJ40" s="6" t="str">
        <f>+IF(AI40&gt;0,VLOOKUP(AI40,DatiExtra[[NDPRG]:[Ndata]],2,0),"")</f>
        <v/>
      </c>
    </row>
    <row r="41" spans="4:36" x14ac:dyDescent="0.2">
      <c r="D41" s="8" t="s">
        <v>9</v>
      </c>
      <c r="E41" s="13" t="str">
        <f>+IF(DatiExtra[[#This Row],[Cod Fattore]]="","",VLOOKUP(DatiExtra[[#This Row],[Cod Fattore]],ElencoKPI[],2,0))</f>
        <v>Qta Venduta</v>
      </c>
      <c r="F41" s="28">
        <v>114400</v>
      </c>
      <c r="G41" s="15">
        <v>45291</v>
      </c>
      <c r="H41" s="8"/>
      <c r="I41" s="13" t="str">
        <f>+IF(DatiExtra[[#This Row],[Budget]],"Budget","Consuntivo")</f>
        <v>Consuntivo</v>
      </c>
      <c r="J41" s="3">
        <f>+(COUNTIF($G$5:G41,DatiExtra[[#This Row],[Data]])=1)*1</f>
        <v>0</v>
      </c>
      <c r="K41" s="3">
        <f>+SUM($J$5:J41)*(DatiExtra[[#This Row],[ND]]=1)</f>
        <v>0</v>
      </c>
      <c r="L41" s="6" t="str">
        <f>+IF(DatiExtra[[#This Row],[NDPRG]]&gt;0,DatiExtra[[#This Row],[Data]],"")</f>
        <v/>
      </c>
      <c r="M41" s="6"/>
      <c r="N41" s="19">
        <v>35</v>
      </c>
      <c r="O41" s="7"/>
      <c r="P41" s="7"/>
      <c r="Q41" s="7"/>
      <c r="R41" s="7"/>
      <c r="S41" s="31" t="str">
        <f t="shared" si="1"/>
        <v/>
      </c>
      <c r="T41" s="7"/>
      <c r="U41" s="24" cm="1">
        <f t="array" ref="U41">IFERROR(+IF($P41=$S41,PrimoF,
IF($Q41=":",PrimoF/SecondoF,
IF($Q41="+",PrimoF+SecondoF,
IF($Q41="-",PrimoF-SecondoF,
PrimoF*SecondoF)))),0)</f>
        <v>0</v>
      </c>
      <c r="V41" s="25" cm="1">
        <f t="array" ref="V41">IFERROR(+IF($P41=$S41,PrimoF,
IF($Q41=":",PrimoF/SecondoF,
IF($Q41="+",PrimoF+SecondoF,
IF($Q41="-",PrimoF-SecondoF,
PrimoF*SecondoF)))),0)</f>
        <v>0</v>
      </c>
      <c r="W41" s="26">
        <f t="shared" si="2"/>
        <v>0</v>
      </c>
      <c r="X41" s="27" cm="1">
        <f t="array" ref="X41">IFERROR(+IF($P41=$S41,PrimoF,
IF($Q41=":",PrimoF/SecondoF,
IF($Q41="+",PrimoF+SecondoF,
IF($Q41="-",PrimoF-SecondoF,
PrimoF*SecondoF)))),0)</f>
        <v>0</v>
      </c>
      <c r="Y41" s="25" cm="1">
        <f t="array" ref="Y41">IFERROR(+IF($P41=$S41,PrimoF,
IF($Q41=":",PrimoF/SecondoF,
IF($Q41="+",PrimoF+SecondoF,
IF($Q41="-",PrimoF-SecondoF,
PrimoF*SecondoF)))),0)</f>
        <v>0</v>
      </c>
      <c r="Z41" s="26">
        <f t="shared" si="3"/>
        <v>0</v>
      </c>
      <c r="AA41" s="27" cm="1">
        <f t="array" ref="AA41">+IFERROR(IF($P41=$S41,PrimoF,
IF($Q41=":",PrimoF/SecondoF,
IF($Q41="+",PrimoF+SecondoF,
IF($Q41="-",PrimoF-SecondoF,
PrimoF*SecondoF)))),0)</f>
        <v>0</v>
      </c>
      <c r="AB41" s="25" cm="1">
        <f t="array" ref="AB41">IFERROR(+IF($P41=$S41,PrimoF,
IF($Q41=":",PrimoF/SecondoF,
IF($Q41="+",PrimoF+SecondoF,
IF($Q41="-",PrimoF-SecondoF,
PrimoF*SecondoF)))),0)</f>
        <v>0</v>
      </c>
      <c r="AC41" s="26">
        <f t="shared" si="4"/>
        <v>0</v>
      </c>
      <c r="AD41" s="27" cm="1">
        <f t="array" ref="AD41">IFERROR(+IF($P41=$S41,PrimoF,
IF($Q41=":",PrimoF/SecondoF,
IF($Q41="+",PrimoF+SecondoF,
IF($Q41="-",PrimoF-SecondoF,
PrimoF*SecondoF)))),0)</f>
        <v>0</v>
      </c>
      <c r="AE41" s="25" cm="1">
        <f t="array" ref="AE41">IFERROR(+IF($P41=$S41,PrimoF,
IF($Q41=":",PrimoF/SecondoF,
IF($Q41="+",PrimoF+SecondoF,
IF($Q41="-",PrimoF-SecondoF,
PrimoF*SecondoF)))),0)</f>
        <v>0</v>
      </c>
      <c r="AF41" s="26">
        <f t="shared" si="5"/>
        <v>0</v>
      </c>
      <c r="AI41" s="4">
        <f>+IF(OR(AI40=0,AI40+1&gt;MAX(DatiExtra[NDPRG])),0,AI40+1)</f>
        <v>0</v>
      </c>
      <c r="AJ41" s="6" t="str">
        <f>+IF(AI41&gt;0,VLOOKUP(AI41,DatiExtra[[NDPRG]:[Ndata]],2,0),"")</f>
        <v/>
      </c>
    </row>
    <row r="42" spans="4:36" x14ac:dyDescent="0.2">
      <c r="D42" s="8" t="s">
        <v>11</v>
      </c>
      <c r="E42" s="13" t="str">
        <f>+IF(DatiExtra[[#This Row],[Cod Fattore]]="","",VLOOKUP(DatiExtra[[#This Row],[Cod Fattore]],ElencoKPI[],2,0))</f>
        <v>Non Conformità</v>
      </c>
      <c r="F42" s="28">
        <v>91</v>
      </c>
      <c r="G42" s="15">
        <v>45016</v>
      </c>
      <c r="H42" s="8"/>
      <c r="I42" s="13" t="str">
        <f>+IF(DatiExtra[[#This Row],[Budget]],"Budget","Consuntivo")</f>
        <v>Consuntivo</v>
      </c>
      <c r="J42" s="3">
        <f>+(COUNTIF($G$5:G42,DatiExtra[[#This Row],[Data]])=1)*1</f>
        <v>0</v>
      </c>
      <c r="K42" s="3">
        <f>+SUM($J$5:J42)*(DatiExtra[[#This Row],[ND]]=1)</f>
        <v>0</v>
      </c>
      <c r="L42" s="6" t="str">
        <f>+IF(DatiExtra[[#This Row],[NDPRG]]&gt;0,DatiExtra[[#This Row],[Data]],"")</f>
        <v/>
      </c>
      <c r="M42" s="6"/>
      <c r="N42" s="19">
        <v>36</v>
      </c>
      <c r="O42" s="7"/>
      <c r="P42" s="7"/>
      <c r="Q42" s="7"/>
      <c r="R42" s="7"/>
      <c r="S42" s="31" t="str">
        <f t="shared" si="1"/>
        <v/>
      </c>
      <c r="T42" s="7"/>
      <c r="U42" s="24" cm="1">
        <f t="array" ref="U42">IFERROR(+IF($P42=$S42,PrimoF,
IF($Q42=":",PrimoF/SecondoF,
IF($Q42="+",PrimoF+SecondoF,
IF($Q42="-",PrimoF-SecondoF,
PrimoF*SecondoF)))),0)</f>
        <v>0</v>
      </c>
      <c r="V42" s="25" cm="1">
        <f t="array" ref="V42">IFERROR(+IF($P42=$S42,PrimoF,
IF($Q42=":",PrimoF/SecondoF,
IF($Q42="+",PrimoF+SecondoF,
IF($Q42="-",PrimoF-SecondoF,
PrimoF*SecondoF)))),0)</f>
        <v>0</v>
      </c>
      <c r="W42" s="26">
        <f t="shared" si="2"/>
        <v>0</v>
      </c>
      <c r="X42" s="27" cm="1">
        <f t="array" ref="X42">IFERROR(+IF($P42=$S42,PrimoF,
IF($Q42=":",PrimoF/SecondoF,
IF($Q42="+",PrimoF+SecondoF,
IF($Q42="-",PrimoF-SecondoF,
PrimoF*SecondoF)))),0)</f>
        <v>0</v>
      </c>
      <c r="Y42" s="25" cm="1">
        <f t="array" ref="Y42">IFERROR(+IF($P42=$S42,PrimoF,
IF($Q42=":",PrimoF/SecondoF,
IF($Q42="+",PrimoF+SecondoF,
IF($Q42="-",PrimoF-SecondoF,
PrimoF*SecondoF)))),0)</f>
        <v>0</v>
      </c>
      <c r="Z42" s="26">
        <f t="shared" si="3"/>
        <v>0</v>
      </c>
      <c r="AA42" s="27" cm="1">
        <f t="array" ref="AA42">+IFERROR(IF($P42=$S42,PrimoF,
IF($Q42=":",PrimoF/SecondoF,
IF($Q42="+",PrimoF+SecondoF,
IF($Q42="-",PrimoF-SecondoF,
PrimoF*SecondoF)))),0)</f>
        <v>0</v>
      </c>
      <c r="AB42" s="25" cm="1">
        <f t="array" ref="AB42">IFERROR(+IF($P42=$S42,PrimoF,
IF($Q42=":",PrimoF/SecondoF,
IF($Q42="+",PrimoF+SecondoF,
IF($Q42="-",PrimoF-SecondoF,
PrimoF*SecondoF)))),0)</f>
        <v>0</v>
      </c>
      <c r="AC42" s="26">
        <f t="shared" si="4"/>
        <v>0</v>
      </c>
      <c r="AD42" s="27" cm="1">
        <f t="array" ref="AD42">IFERROR(+IF($P42=$S42,PrimoF,
IF($Q42=":",PrimoF/SecondoF,
IF($Q42="+",PrimoF+SecondoF,
IF($Q42="-",PrimoF-SecondoF,
PrimoF*SecondoF)))),0)</f>
        <v>0</v>
      </c>
      <c r="AE42" s="25" cm="1">
        <f t="array" ref="AE42">IFERROR(+IF($P42=$S42,PrimoF,
IF($Q42=":",PrimoF/SecondoF,
IF($Q42="+",PrimoF+SecondoF,
IF($Q42="-",PrimoF-SecondoF,
PrimoF*SecondoF)))),0)</f>
        <v>0</v>
      </c>
      <c r="AF42" s="26">
        <f t="shared" si="5"/>
        <v>0</v>
      </c>
      <c r="AI42" s="4">
        <f>+IF(OR(AI41=0,AI41+1&gt;MAX(DatiExtra[NDPRG])),0,AI41+1)</f>
        <v>0</v>
      </c>
      <c r="AJ42" s="6" t="str">
        <f>+IF(AI42&gt;0,VLOOKUP(AI42,DatiExtra[[NDPRG]:[Ndata]],2,0),"")</f>
        <v/>
      </c>
    </row>
    <row r="43" spans="4:36" x14ac:dyDescent="0.2">
      <c r="D43" s="8" t="s">
        <v>11</v>
      </c>
      <c r="E43" s="13" t="str">
        <f>+IF(DatiExtra[[#This Row],[Cod Fattore]]="","",VLOOKUP(DatiExtra[[#This Row],[Cod Fattore]],ElencoKPI[],2,0))</f>
        <v>Non Conformità</v>
      </c>
      <c r="F43" s="28">
        <v>81.900000000000006</v>
      </c>
      <c r="G43" s="15">
        <v>45107</v>
      </c>
      <c r="H43" s="8"/>
      <c r="I43" s="13" t="str">
        <f>+IF(DatiExtra[[#This Row],[Budget]],"Budget","Consuntivo")</f>
        <v>Consuntivo</v>
      </c>
      <c r="J43" s="3">
        <f>+(COUNTIF($G$5:G43,DatiExtra[[#This Row],[Data]])=1)*1</f>
        <v>0</v>
      </c>
      <c r="K43" s="3">
        <f>+SUM($J$5:J43)*(DatiExtra[[#This Row],[ND]]=1)</f>
        <v>0</v>
      </c>
      <c r="L43" s="6" t="str">
        <f>+IF(DatiExtra[[#This Row],[NDPRG]]&gt;0,DatiExtra[[#This Row],[Data]],"")</f>
        <v/>
      </c>
      <c r="M43" s="6"/>
      <c r="N43" s="19">
        <v>37</v>
      </c>
      <c r="O43" s="7"/>
      <c r="P43" s="7"/>
      <c r="Q43" s="7"/>
      <c r="R43" s="7"/>
      <c r="S43" s="31" t="str">
        <f t="shared" si="1"/>
        <v/>
      </c>
      <c r="T43" s="7"/>
      <c r="U43" s="24" cm="1">
        <f t="array" ref="U43">IFERROR(+IF($P43=$S43,PrimoF,
IF($Q43=":",PrimoF/SecondoF,
IF($Q43="+",PrimoF+SecondoF,
IF($Q43="-",PrimoF-SecondoF,
PrimoF*SecondoF)))),0)</f>
        <v>0</v>
      </c>
      <c r="V43" s="25" cm="1">
        <f t="array" ref="V43">IFERROR(+IF($P43=$S43,PrimoF,
IF($Q43=":",PrimoF/SecondoF,
IF($Q43="+",PrimoF+SecondoF,
IF($Q43="-",PrimoF-SecondoF,
PrimoF*SecondoF)))),0)</f>
        <v>0</v>
      </c>
      <c r="W43" s="26">
        <f t="shared" si="2"/>
        <v>0</v>
      </c>
      <c r="X43" s="27" cm="1">
        <f t="array" ref="X43">IFERROR(+IF($P43=$S43,PrimoF,
IF($Q43=":",PrimoF/SecondoF,
IF($Q43="+",PrimoF+SecondoF,
IF($Q43="-",PrimoF-SecondoF,
PrimoF*SecondoF)))),0)</f>
        <v>0</v>
      </c>
      <c r="Y43" s="25" cm="1">
        <f t="array" ref="Y43">IFERROR(+IF($P43=$S43,PrimoF,
IF($Q43=":",PrimoF/SecondoF,
IF($Q43="+",PrimoF+SecondoF,
IF($Q43="-",PrimoF-SecondoF,
PrimoF*SecondoF)))),0)</f>
        <v>0</v>
      </c>
      <c r="Z43" s="26">
        <f t="shared" si="3"/>
        <v>0</v>
      </c>
      <c r="AA43" s="27" cm="1">
        <f t="array" ref="AA43">+IFERROR(IF($P43=$S43,PrimoF,
IF($Q43=":",PrimoF/SecondoF,
IF($Q43="+",PrimoF+SecondoF,
IF($Q43="-",PrimoF-SecondoF,
PrimoF*SecondoF)))),0)</f>
        <v>0</v>
      </c>
      <c r="AB43" s="25" cm="1">
        <f t="array" ref="AB43">IFERROR(+IF($P43=$S43,PrimoF,
IF($Q43=":",PrimoF/SecondoF,
IF($Q43="+",PrimoF+SecondoF,
IF($Q43="-",PrimoF-SecondoF,
PrimoF*SecondoF)))),0)</f>
        <v>0</v>
      </c>
      <c r="AC43" s="26">
        <f t="shared" si="4"/>
        <v>0</v>
      </c>
      <c r="AD43" s="27" cm="1">
        <f t="array" ref="AD43">IFERROR(+IF($P43=$S43,PrimoF,
IF($Q43=":",PrimoF/SecondoF,
IF($Q43="+",PrimoF+SecondoF,
IF($Q43="-",PrimoF-SecondoF,
PrimoF*SecondoF)))),0)</f>
        <v>0</v>
      </c>
      <c r="AE43" s="25" cm="1">
        <f t="array" ref="AE43">IFERROR(+IF($P43=$S43,PrimoF,
IF($Q43=":",PrimoF/SecondoF,
IF($Q43="+",PrimoF+SecondoF,
IF($Q43="-",PrimoF-SecondoF,
PrimoF*SecondoF)))),0)</f>
        <v>0</v>
      </c>
      <c r="AF43" s="26">
        <f t="shared" si="5"/>
        <v>0</v>
      </c>
      <c r="AI43" s="4">
        <f>+IF(OR(AI42=0,AI42+1&gt;MAX(DatiExtra[NDPRG])),0,AI42+1)</f>
        <v>0</v>
      </c>
      <c r="AJ43" s="6" t="str">
        <f>+IF(AI43&gt;0,VLOOKUP(AI43,DatiExtra[[NDPRG]:[Ndata]],2,0),"")</f>
        <v/>
      </c>
    </row>
    <row r="44" spans="4:36" x14ac:dyDescent="0.2">
      <c r="D44" s="8" t="s">
        <v>11</v>
      </c>
      <c r="E44" s="13" t="str">
        <f>+IF(DatiExtra[[#This Row],[Cod Fattore]]="","",VLOOKUP(DatiExtra[[#This Row],[Cod Fattore]],ElencoKPI[],2,0))</f>
        <v>Non Conformità</v>
      </c>
      <c r="F44" s="28">
        <v>64.800000000000011</v>
      </c>
      <c r="G44" s="15">
        <v>45199</v>
      </c>
      <c r="H44" s="8"/>
      <c r="I44" s="13" t="str">
        <f>+IF(DatiExtra[[#This Row],[Budget]],"Budget","Consuntivo")</f>
        <v>Consuntivo</v>
      </c>
      <c r="J44" s="3">
        <f>+(COUNTIF($G$5:G44,DatiExtra[[#This Row],[Data]])=1)*1</f>
        <v>0</v>
      </c>
      <c r="K44" s="3">
        <f>+SUM($J$5:J44)*(DatiExtra[[#This Row],[ND]]=1)</f>
        <v>0</v>
      </c>
      <c r="L44" s="6" t="str">
        <f>+IF(DatiExtra[[#This Row],[NDPRG]]&gt;0,DatiExtra[[#This Row],[Data]],"")</f>
        <v/>
      </c>
      <c r="M44" s="6"/>
      <c r="N44" s="19">
        <v>38</v>
      </c>
      <c r="O44" s="7"/>
      <c r="P44" s="7"/>
      <c r="Q44" s="7"/>
      <c r="R44" s="7"/>
      <c r="S44" s="31" t="str">
        <f t="shared" si="1"/>
        <v/>
      </c>
      <c r="T44" s="7"/>
      <c r="U44" s="24" cm="1">
        <f t="array" ref="U44">IFERROR(+IF($P44=$S44,PrimoF,
IF($Q44=":",PrimoF/SecondoF,
IF($Q44="+",PrimoF+SecondoF,
IF($Q44="-",PrimoF-SecondoF,
PrimoF*SecondoF)))),0)</f>
        <v>0</v>
      </c>
      <c r="V44" s="25" cm="1">
        <f t="array" ref="V44">IFERROR(+IF($P44=$S44,PrimoF,
IF($Q44=":",PrimoF/SecondoF,
IF($Q44="+",PrimoF+SecondoF,
IF($Q44="-",PrimoF-SecondoF,
PrimoF*SecondoF)))),0)</f>
        <v>0</v>
      </c>
      <c r="W44" s="26">
        <f t="shared" si="2"/>
        <v>0</v>
      </c>
      <c r="X44" s="27" cm="1">
        <f t="array" ref="X44">IFERROR(+IF($P44=$S44,PrimoF,
IF($Q44=":",PrimoF/SecondoF,
IF($Q44="+",PrimoF+SecondoF,
IF($Q44="-",PrimoF-SecondoF,
PrimoF*SecondoF)))),0)</f>
        <v>0</v>
      </c>
      <c r="Y44" s="25" cm="1">
        <f t="array" ref="Y44">IFERROR(+IF($P44=$S44,PrimoF,
IF($Q44=":",PrimoF/SecondoF,
IF($Q44="+",PrimoF+SecondoF,
IF($Q44="-",PrimoF-SecondoF,
PrimoF*SecondoF)))),0)</f>
        <v>0</v>
      </c>
      <c r="Z44" s="26">
        <f t="shared" si="3"/>
        <v>0</v>
      </c>
      <c r="AA44" s="27" cm="1">
        <f t="array" ref="AA44">+IFERROR(IF($P44=$S44,PrimoF,
IF($Q44=":",PrimoF/SecondoF,
IF($Q44="+",PrimoF+SecondoF,
IF($Q44="-",PrimoF-SecondoF,
PrimoF*SecondoF)))),0)</f>
        <v>0</v>
      </c>
      <c r="AB44" s="25" cm="1">
        <f t="array" ref="AB44">IFERROR(+IF($P44=$S44,PrimoF,
IF($Q44=":",PrimoF/SecondoF,
IF($Q44="+",PrimoF+SecondoF,
IF($Q44="-",PrimoF-SecondoF,
PrimoF*SecondoF)))),0)</f>
        <v>0</v>
      </c>
      <c r="AC44" s="26">
        <f t="shared" si="4"/>
        <v>0</v>
      </c>
      <c r="AD44" s="27" cm="1">
        <f t="array" ref="AD44">IFERROR(+IF($P44=$S44,PrimoF,
IF($Q44=":",PrimoF/SecondoF,
IF($Q44="+",PrimoF+SecondoF,
IF($Q44="-",PrimoF-SecondoF,
PrimoF*SecondoF)))),0)</f>
        <v>0</v>
      </c>
      <c r="AE44" s="25" cm="1">
        <f t="array" ref="AE44">IFERROR(+IF($P44=$S44,PrimoF,
IF($Q44=":",PrimoF/SecondoF,
IF($Q44="+",PrimoF+SecondoF,
IF($Q44="-",PrimoF-SecondoF,
PrimoF*SecondoF)))),0)</f>
        <v>0</v>
      </c>
      <c r="AF44" s="26">
        <f t="shared" si="5"/>
        <v>0</v>
      </c>
      <c r="AI44" s="4">
        <f>+IF(OR(AI43=0,AI43+1&gt;MAX(DatiExtra[NDPRG])),0,AI43+1)</f>
        <v>0</v>
      </c>
      <c r="AJ44" s="6" t="str">
        <f>+IF(AI44&gt;0,VLOOKUP(AI44,DatiExtra[[NDPRG]:[Ndata]],2,0),"")</f>
        <v/>
      </c>
    </row>
    <row r="45" spans="4:36" x14ac:dyDescent="0.2">
      <c r="D45" s="8" t="s">
        <v>11</v>
      </c>
      <c r="E45" s="13" t="str">
        <f>+IF(DatiExtra[[#This Row],[Cod Fattore]]="","",VLOOKUP(DatiExtra[[#This Row],[Cod Fattore]],ElencoKPI[],2,0))</f>
        <v>Non Conformità</v>
      </c>
      <c r="F45" s="28">
        <v>68.599999999999994</v>
      </c>
      <c r="G45" s="15">
        <v>45291</v>
      </c>
      <c r="H45" s="8"/>
      <c r="I45" s="13" t="str">
        <f>+IF(DatiExtra[[#This Row],[Budget]],"Budget","Consuntivo")</f>
        <v>Consuntivo</v>
      </c>
      <c r="J45" s="3">
        <f>+(COUNTIF($G$5:G45,DatiExtra[[#This Row],[Data]])=1)*1</f>
        <v>0</v>
      </c>
      <c r="K45" s="3">
        <f>+SUM($J$5:J45)*(DatiExtra[[#This Row],[ND]]=1)</f>
        <v>0</v>
      </c>
      <c r="L45" s="6" t="str">
        <f>+IF(DatiExtra[[#This Row],[NDPRG]]&gt;0,DatiExtra[[#This Row],[Data]],"")</f>
        <v/>
      </c>
      <c r="M45" s="6"/>
      <c r="N45" s="19">
        <v>39</v>
      </c>
      <c r="O45" s="7"/>
      <c r="P45" s="7"/>
      <c r="Q45" s="7"/>
      <c r="R45" s="7"/>
      <c r="S45" s="31" t="str">
        <f t="shared" si="1"/>
        <v/>
      </c>
      <c r="T45" s="7"/>
      <c r="U45" s="24" cm="1">
        <f t="array" ref="U45">IFERROR(+IF($P45=$S45,PrimoF,
IF($Q45=":",PrimoF/SecondoF,
IF($Q45="+",PrimoF+SecondoF,
IF($Q45="-",PrimoF-SecondoF,
PrimoF*SecondoF)))),0)</f>
        <v>0</v>
      </c>
      <c r="V45" s="25" cm="1">
        <f t="array" ref="V45">IFERROR(+IF($P45=$S45,PrimoF,
IF($Q45=":",PrimoF/SecondoF,
IF($Q45="+",PrimoF+SecondoF,
IF($Q45="-",PrimoF-SecondoF,
PrimoF*SecondoF)))),0)</f>
        <v>0</v>
      </c>
      <c r="W45" s="26">
        <f t="shared" si="2"/>
        <v>0</v>
      </c>
      <c r="X45" s="27" cm="1">
        <f t="array" ref="X45">IFERROR(+IF($P45=$S45,PrimoF,
IF($Q45=":",PrimoF/SecondoF,
IF($Q45="+",PrimoF+SecondoF,
IF($Q45="-",PrimoF-SecondoF,
PrimoF*SecondoF)))),0)</f>
        <v>0</v>
      </c>
      <c r="Y45" s="25" cm="1">
        <f t="array" ref="Y45">IFERROR(+IF($P45=$S45,PrimoF,
IF($Q45=":",PrimoF/SecondoF,
IF($Q45="+",PrimoF+SecondoF,
IF($Q45="-",PrimoF-SecondoF,
PrimoF*SecondoF)))),0)</f>
        <v>0</v>
      </c>
      <c r="Z45" s="26">
        <f t="shared" si="3"/>
        <v>0</v>
      </c>
      <c r="AA45" s="27" cm="1">
        <f t="array" ref="AA45">+IFERROR(IF($P45=$S45,PrimoF,
IF($Q45=":",PrimoF/SecondoF,
IF($Q45="+",PrimoF+SecondoF,
IF($Q45="-",PrimoF-SecondoF,
PrimoF*SecondoF)))),0)</f>
        <v>0</v>
      </c>
      <c r="AB45" s="25" cm="1">
        <f t="array" ref="AB45">IFERROR(+IF($P45=$S45,PrimoF,
IF($Q45=":",PrimoF/SecondoF,
IF($Q45="+",PrimoF+SecondoF,
IF($Q45="-",PrimoF-SecondoF,
PrimoF*SecondoF)))),0)</f>
        <v>0</v>
      </c>
      <c r="AC45" s="26">
        <f t="shared" si="4"/>
        <v>0</v>
      </c>
      <c r="AD45" s="27" cm="1">
        <f t="array" ref="AD45">IFERROR(+IF($P45=$S45,PrimoF,
IF($Q45=":",PrimoF/SecondoF,
IF($Q45="+",PrimoF+SecondoF,
IF($Q45="-",PrimoF-SecondoF,
PrimoF*SecondoF)))),0)</f>
        <v>0</v>
      </c>
      <c r="AE45" s="25" cm="1">
        <f t="array" ref="AE45">IFERROR(+IF($P45=$S45,PrimoF,
IF($Q45=":",PrimoF/SecondoF,
IF($Q45="+",PrimoF+SecondoF,
IF($Q45="-",PrimoF-SecondoF,
PrimoF*SecondoF)))),0)</f>
        <v>0</v>
      </c>
      <c r="AF45" s="26">
        <f t="shared" si="5"/>
        <v>0</v>
      </c>
      <c r="AI45" s="4">
        <f>+IF(OR(AI44=0,AI44+1&gt;MAX(DatiExtra[NDPRG])),0,AI44+1)</f>
        <v>0</v>
      </c>
      <c r="AJ45" s="6" t="str">
        <f>+IF(AI45&gt;0,VLOOKUP(AI45,DatiExtra[[NDPRG]:[Ndata]],2,0),"")</f>
        <v/>
      </c>
    </row>
    <row r="46" spans="4:36" x14ac:dyDescent="0.2">
      <c r="D46" s="8" t="s">
        <v>21</v>
      </c>
      <c r="E46" s="13" t="str">
        <f>+IF(DatiExtra[[#This Row],[Cod Fattore]]="","",VLOOKUP(DatiExtra[[#This Row],[Cod Fattore]],ElencoKPI[],2,0))</f>
        <v>Numero di preventivi</v>
      </c>
      <c r="F46" s="28">
        <v>450</v>
      </c>
      <c r="G46" s="15">
        <v>45016</v>
      </c>
      <c r="H46" s="8"/>
      <c r="I46" s="13" t="str">
        <f>+IF(DatiExtra[[#This Row],[Budget]],"Budget","Consuntivo")</f>
        <v>Consuntivo</v>
      </c>
      <c r="J46" s="3">
        <f>+(COUNTIF($G$5:G46,DatiExtra[[#This Row],[Data]])=1)*1</f>
        <v>0</v>
      </c>
      <c r="K46" s="3">
        <f>+SUM($J$5:J46)*(DatiExtra[[#This Row],[ND]]=1)</f>
        <v>0</v>
      </c>
      <c r="L46" s="6" t="str">
        <f>+IF(DatiExtra[[#This Row],[NDPRG]]&gt;0,DatiExtra[[#This Row],[Data]],"")</f>
        <v/>
      </c>
      <c r="M46" s="6"/>
      <c r="N46" s="19">
        <v>40</v>
      </c>
      <c r="O46" s="7"/>
      <c r="P46" s="7"/>
      <c r="Q46" s="7"/>
      <c r="R46" s="7"/>
      <c r="S46" s="31" t="str">
        <f t="shared" si="1"/>
        <v/>
      </c>
      <c r="T46" s="7"/>
      <c r="U46" s="24" cm="1">
        <f t="array" ref="U46">IFERROR(+IF($P46=$S46,PrimoF,
IF($Q46=":",PrimoF/SecondoF,
IF($Q46="+",PrimoF+SecondoF,
IF($Q46="-",PrimoF-SecondoF,
PrimoF*SecondoF)))),0)</f>
        <v>0</v>
      </c>
      <c r="V46" s="25" cm="1">
        <f t="array" ref="V46">IFERROR(+IF($P46=$S46,PrimoF,
IF($Q46=":",PrimoF/SecondoF,
IF($Q46="+",PrimoF+SecondoF,
IF($Q46="-",PrimoF-SecondoF,
PrimoF*SecondoF)))),0)</f>
        <v>0</v>
      </c>
      <c r="W46" s="26">
        <f t="shared" si="2"/>
        <v>0</v>
      </c>
      <c r="X46" s="27" cm="1">
        <f t="array" ref="X46">IFERROR(+IF($P46=$S46,PrimoF,
IF($Q46=":",PrimoF/SecondoF,
IF($Q46="+",PrimoF+SecondoF,
IF($Q46="-",PrimoF-SecondoF,
PrimoF*SecondoF)))),0)</f>
        <v>0</v>
      </c>
      <c r="Y46" s="25" cm="1">
        <f t="array" ref="Y46">IFERROR(+IF($P46=$S46,PrimoF,
IF($Q46=":",PrimoF/SecondoF,
IF($Q46="+",PrimoF+SecondoF,
IF($Q46="-",PrimoF-SecondoF,
PrimoF*SecondoF)))),0)</f>
        <v>0</v>
      </c>
      <c r="Z46" s="26">
        <f t="shared" si="3"/>
        <v>0</v>
      </c>
      <c r="AA46" s="27" cm="1">
        <f t="array" ref="AA46">+IFERROR(IF($P46=$S46,PrimoF,
IF($Q46=":",PrimoF/SecondoF,
IF($Q46="+",PrimoF+SecondoF,
IF($Q46="-",PrimoF-SecondoF,
PrimoF*SecondoF)))),0)</f>
        <v>0</v>
      </c>
      <c r="AB46" s="25" cm="1">
        <f t="array" ref="AB46">IFERROR(+IF($P46=$S46,PrimoF,
IF($Q46=":",PrimoF/SecondoF,
IF($Q46="+",PrimoF+SecondoF,
IF($Q46="-",PrimoF-SecondoF,
PrimoF*SecondoF)))),0)</f>
        <v>0</v>
      </c>
      <c r="AC46" s="26">
        <f t="shared" si="4"/>
        <v>0</v>
      </c>
      <c r="AD46" s="27" cm="1">
        <f t="array" ref="AD46">IFERROR(+IF($P46=$S46,PrimoF,
IF($Q46=":",PrimoF/SecondoF,
IF($Q46="+",PrimoF+SecondoF,
IF($Q46="-",PrimoF-SecondoF,
PrimoF*SecondoF)))),0)</f>
        <v>0</v>
      </c>
      <c r="AE46" s="25" cm="1">
        <f t="array" ref="AE46">IFERROR(+IF($P46=$S46,PrimoF,
IF($Q46=":",PrimoF/SecondoF,
IF($Q46="+",PrimoF+SecondoF,
IF($Q46="-",PrimoF-SecondoF,
PrimoF*SecondoF)))),0)</f>
        <v>0</v>
      </c>
      <c r="AF46" s="26">
        <f t="shared" si="5"/>
        <v>0</v>
      </c>
      <c r="AI46" s="4">
        <f>+IF(OR(AI45=0,AI45+1&gt;MAX(DatiExtra[NDPRG])),0,AI45+1)</f>
        <v>0</v>
      </c>
      <c r="AJ46" s="6" t="str">
        <f>+IF(AI46&gt;0,VLOOKUP(AI46,DatiExtra[[NDPRG]:[Ndata]],2,0),"")</f>
        <v/>
      </c>
    </row>
    <row r="47" spans="4:36" x14ac:dyDescent="0.2">
      <c r="D47" s="8" t="s">
        <v>21</v>
      </c>
      <c r="E47" s="13" t="str">
        <f>+IF(DatiExtra[[#This Row],[Cod Fattore]]="","",VLOOKUP(DatiExtra[[#This Row],[Cod Fattore]],ElencoKPI[],2,0))</f>
        <v>Numero di preventivi</v>
      </c>
      <c r="F47" s="28">
        <v>540</v>
      </c>
      <c r="G47" s="15">
        <v>45107</v>
      </c>
      <c r="H47" s="8"/>
      <c r="I47" s="13" t="str">
        <f>+IF(DatiExtra[[#This Row],[Budget]],"Budget","Consuntivo")</f>
        <v>Consuntivo</v>
      </c>
      <c r="J47" s="3">
        <f>+(COUNTIF($G$5:G47,DatiExtra[[#This Row],[Data]])=1)*1</f>
        <v>0</v>
      </c>
      <c r="K47" s="3">
        <f>+SUM($J$5:J47)*(DatiExtra[[#This Row],[ND]]=1)</f>
        <v>0</v>
      </c>
      <c r="L47" s="6" t="str">
        <f>+IF(DatiExtra[[#This Row],[NDPRG]]&gt;0,DatiExtra[[#This Row],[Data]],"")</f>
        <v/>
      </c>
      <c r="M47" s="6"/>
      <c r="N47" s="19">
        <v>41</v>
      </c>
      <c r="O47" s="7"/>
      <c r="P47" s="7"/>
      <c r="Q47" s="7"/>
      <c r="R47" s="7"/>
      <c r="S47" s="31" t="str">
        <f t="shared" si="1"/>
        <v/>
      </c>
      <c r="T47" s="7"/>
      <c r="U47" s="24" cm="1">
        <f t="array" ref="U47">IFERROR(+IF($P47=$S47,PrimoF,
IF($Q47=":",PrimoF/SecondoF,
IF($Q47="+",PrimoF+SecondoF,
IF($Q47="-",PrimoF-SecondoF,
PrimoF*SecondoF)))),0)</f>
        <v>0</v>
      </c>
      <c r="V47" s="25" cm="1">
        <f t="array" ref="V47">IFERROR(+IF($P47=$S47,PrimoF,
IF($Q47=":",PrimoF/SecondoF,
IF($Q47="+",PrimoF+SecondoF,
IF($Q47="-",PrimoF-SecondoF,
PrimoF*SecondoF)))),0)</f>
        <v>0</v>
      </c>
      <c r="W47" s="26">
        <f t="shared" si="2"/>
        <v>0</v>
      </c>
      <c r="X47" s="27" cm="1">
        <f t="array" ref="X47">IFERROR(+IF($P47=$S47,PrimoF,
IF($Q47=":",PrimoF/SecondoF,
IF($Q47="+",PrimoF+SecondoF,
IF($Q47="-",PrimoF-SecondoF,
PrimoF*SecondoF)))),0)</f>
        <v>0</v>
      </c>
      <c r="Y47" s="25" cm="1">
        <f t="array" ref="Y47">IFERROR(+IF($P47=$S47,PrimoF,
IF($Q47=":",PrimoF/SecondoF,
IF($Q47="+",PrimoF+SecondoF,
IF($Q47="-",PrimoF-SecondoF,
PrimoF*SecondoF)))),0)</f>
        <v>0</v>
      </c>
      <c r="Z47" s="26">
        <f t="shared" si="3"/>
        <v>0</v>
      </c>
      <c r="AA47" s="27" cm="1">
        <f t="array" ref="AA47">+IFERROR(IF($P47=$S47,PrimoF,
IF($Q47=":",PrimoF/SecondoF,
IF($Q47="+",PrimoF+SecondoF,
IF($Q47="-",PrimoF-SecondoF,
PrimoF*SecondoF)))),0)</f>
        <v>0</v>
      </c>
      <c r="AB47" s="25" cm="1">
        <f t="array" ref="AB47">IFERROR(+IF($P47=$S47,PrimoF,
IF($Q47=":",PrimoF/SecondoF,
IF($Q47="+",PrimoF+SecondoF,
IF($Q47="-",PrimoF-SecondoF,
PrimoF*SecondoF)))),0)</f>
        <v>0</v>
      </c>
      <c r="AC47" s="26">
        <f t="shared" si="4"/>
        <v>0</v>
      </c>
      <c r="AD47" s="27" cm="1">
        <f t="array" ref="AD47">IFERROR(+IF($P47=$S47,PrimoF,
IF($Q47=":",PrimoF/SecondoF,
IF($Q47="+",PrimoF+SecondoF,
IF($Q47="-",PrimoF-SecondoF,
PrimoF*SecondoF)))),0)</f>
        <v>0</v>
      </c>
      <c r="AE47" s="25" cm="1">
        <f t="array" ref="AE47">IFERROR(+IF($P47=$S47,PrimoF,
IF($Q47=":",PrimoF/SecondoF,
IF($Q47="+",PrimoF+SecondoF,
IF($Q47="-",PrimoF-SecondoF,
PrimoF*SecondoF)))),0)</f>
        <v>0</v>
      </c>
      <c r="AF47" s="26">
        <f t="shared" si="5"/>
        <v>0</v>
      </c>
      <c r="AI47" s="4">
        <f>+IF(OR(AI46=0,AI46+1&gt;MAX(DatiExtra[NDPRG])),0,AI46+1)</f>
        <v>0</v>
      </c>
      <c r="AJ47" s="6" t="str">
        <f>+IF(AI47&gt;0,VLOOKUP(AI47,DatiExtra[[NDPRG]:[Ndata]],2,0),"")</f>
        <v/>
      </c>
    </row>
    <row r="48" spans="4:36" x14ac:dyDescent="0.2">
      <c r="D48" s="8" t="s">
        <v>21</v>
      </c>
      <c r="E48" s="13" t="str">
        <f>+IF(DatiExtra[[#This Row],[Cod Fattore]]="","",VLOOKUP(DatiExtra[[#This Row],[Cod Fattore]],ElencoKPI[],2,0))</f>
        <v>Numero di preventivi</v>
      </c>
      <c r="F48" s="28">
        <v>454.5</v>
      </c>
      <c r="G48" s="15">
        <v>45199</v>
      </c>
      <c r="H48" s="8"/>
      <c r="I48" s="13" t="str">
        <f>+IF(DatiExtra[[#This Row],[Budget]],"Budget","Consuntivo")</f>
        <v>Consuntivo</v>
      </c>
      <c r="J48" s="3">
        <f>+(COUNTIF($G$5:G48,DatiExtra[[#This Row],[Data]])=1)*1</f>
        <v>0</v>
      </c>
      <c r="K48" s="3">
        <f>+SUM($J$5:J48)*(DatiExtra[[#This Row],[ND]]=1)</f>
        <v>0</v>
      </c>
      <c r="L48" s="6" t="str">
        <f>+IF(DatiExtra[[#This Row],[NDPRG]]&gt;0,DatiExtra[[#This Row],[Data]],"")</f>
        <v/>
      </c>
      <c r="M48" s="6"/>
      <c r="N48" s="19">
        <v>42</v>
      </c>
      <c r="O48" s="7"/>
      <c r="P48" s="7"/>
      <c r="Q48" s="7"/>
      <c r="R48" s="7"/>
      <c r="S48" s="31" t="str">
        <f t="shared" si="1"/>
        <v/>
      </c>
      <c r="T48" s="7"/>
      <c r="U48" s="24" cm="1">
        <f t="array" ref="U48">IFERROR(+IF($P48=$S48,PrimoF,
IF($Q48=":",PrimoF/SecondoF,
IF($Q48="+",PrimoF+SecondoF,
IF($Q48="-",PrimoF-SecondoF,
PrimoF*SecondoF)))),0)</f>
        <v>0</v>
      </c>
      <c r="V48" s="25" cm="1">
        <f t="array" ref="V48">IFERROR(+IF($P48=$S48,PrimoF,
IF($Q48=":",PrimoF/SecondoF,
IF($Q48="+",PrimoF+SecondoF,
IF($Q48="-",PrimoF-SecondoF,
PrimoF*SecondoF)))),0)</f>
        <v>0</v>
      </c>
      <c r="W48" s="26">
        <f t="shared" si="2"/>
        <v>0</v>
      </c>
      <c r="X48" s="27" cm="1">
        <f t="array" ref="X48">IFERROR(+IF($P48=$S48,PrimoF,
IF($Q48=":",PrimoF/SecondoF,
IF($Q48="+",PrimoF+SecondoF,
IF($Q48="-",PrimoF-SecondoF,
PrimoF*SecondoF)))),0)</f>
        <v>0</v>
      </c>
      <c r="Y48" s="25" cm="1">
        <f t="array" ref="Y48">IFERROR(+IF($P48=$S48,PrimoF,
IF($Q48=":",PrimoF/SecondoF,
IF($Q48="+",PrimoF+SecondoF,
IF($Q48="-",PrimoF-SecondoF,
PrimoF*SecondoF)))),0)</f>
        <v>0</v>
      </c>
      <c r="Z48" s="26">
        <f t="shared" si="3"/>
        <v>0</v>
      </c>
      <c r="AA48" s="27" cm="1">
        <f t="array" ref="AA48">+IFERROR(IF($P48=$S48,PrimoF,
IF($Q48=":",PrimoF/SecondoF,
IF($Q48="+",PrimoF+SecondoF,
IF($Q48="-",PrimoF-SecondoF,
PrimoF*SecondoF)))),0)</f>
        <v>0</v>
      </c>
      <c r="AB48" s="25" cm="1">
        <f t="array" ref="AB48">IFERROR(+IF($P48=$S48,PrimoF,
IF($Q48=":",PrimoF/SecondoF,
IF($Q48="+",PrimoF+SecondoF,
IF($Q48="-",PrimoF-SecondoF,
PrimoF*SecondoF)))),0)</f>
        <v>0</v>
      </c>
      <c r="AC48" s="26">
        <f t="shared" si="4"/>
        <v>0</v>
      </c>
      <c r="AD48" s="27" cm="1">
        <f t="array" ref="AD48">IFERROR(+IF($P48=$S48,PrimoF,
IF($Q48=":",PrimoF/SecondoF,
IF($Q48="+",PrimoF+SecondoF,
IF($Q48="-",PrimoF-SecondoF,
PrimoF*SecondoF)))),0)</f>
        <v>0</v>
      </c>
      <c r="AE48" s="25" cm="1">
        <f t="array" ref="AE48">IFERROR(+IF($P48=$S48,PrimoF,
IF($Q48=":",PrimoF/SecondoF,
IF($Q48="+",PrimoF+SecondoF,
IF($Q48="-",PrimoF-SecondoF,
PrimoF*SecondoF)))),0)</f>
        <v>0</v>
      </c>
      <c r="AF48" s="26">
        <f t="shared" si="5"/>
        <v>0</v>
      </c>
      <c r="AI48" s="4">
        <f>+IF(OR(AI47=0,AI47+1&gt;MAX(DatiExtra[NDPRG])),0,AI47+1)</f>
        <v>0</v>
      </c>
      <c r="AJ48" s="6" t="str">
        <f>+IF(AI48&gt;0,VLOOKUP(AI48,DatiExtra[[NDPRG]:[Ndata]],2,0),"")</f>
        <v/>
      </c>
    </row>
    <row r="49" spans="4:36" x14ac:dyDescent="0.2">
      <c r="D49" s="8" t="s">
        <v>21</v>
      </c>
      <c r="E49" s="13" t="str">
        <f>+IF(DatiExtra[[#This Row],[Cod Fattore]]="","",VLOOKUP(DatiExtra[[#This Row],[Cod Fattore]],ElencoKPI[],2,0))</f>
        <v>Numero di preventivi</v>
      </c>
      <c r="F49" s="28">
        <v>693</v>
      </c>
      <c r="G49" s="15">
        <v>45291</v>
      </c>
      <c r="H49" s="8"/>
      <c r="I49" s="13" t="str">
        <f>+IF(DatiExtra[[#This Row],[Budget]],"Budget","Consuntivo")</f>
        <v>Consuntivo</v>
      </c>
      <c r="J49" s="3">
        <f>+(COUNTIF($G$5:G49,DatiExtra[[#This Row],[Data]])=1)*1</f>
        <v>0</v>
      </c>
      <c r="K49" s="3">
        <f>+SUM($J$5:J49)*(DatiExtra[[#This Row],[ND]]=1)</f>
        <v>0</v>
      </c>
      <c r="L49" s="6" t="str">
        <f>+IF(DatiExtra[[#This Row],[NDPRG]]&gt;0,DatiExtra[[#This Row],[Data]],"")</f>
        <v/>
      </c>
      <c r="M49" s="6"/>
      <c r="N49" s="19">
        <v>43</v>
      </c>
      <c r="O49" s="7"/>
      <c r="P49" s="7"/>
      <c r="Q49" s="7"/>
      <c r="R49" s="7"/>
      <c r="S49" s="31" t="str">
        <f t="shared" si="1"/>
        <v/>
      </c>
      <c r="T49" s="7"/>
      <c r="U49" s="24" cm="1">
        <f t="array" ref="U49">IFERROR(+IF($P49=$S49,PrimoF,
IF($Q49=":",PrimoF/SecondoF,
IF($Q49="+",PrimoF+SecondoF,
IF($Q49="-",PrimoF-SecondoF,
PrimoF*SecondoF)))),0)</f>
        <v>0</v>
      </c>
      <c r="V49" s="25" cm="1">
        <f t="array" ref="V49">IFERROR(+IF($P49=$S49,PrimoF,
IF($Q49=":",PrimoF/SecondoF,
IF($Q49="+",PrimoF+SecondoF,
IF($Q49="-",PrimoF-SecondoF,
PrimoF*SecondoF)))),0)</f>
        <v>0</v>
      </c>
      <c r="W49" s="26">
        <f t="shared" si="2"/>
        <v>0</v>
      </c>
      <c r="X49" s="27" cm="1">
        <f t="array" ref="X49">IFERROR(+IF($P49=$S49,PrimoF,
IF($Q49=":",PrimoF/SecondoF,
IF($Q49="+",PrimoF+SecondoF,
IF($Q49="-",PrimoF-SecondoF,
PrimoF*SecondoF)))),0)</f>
        <v>0</v>
      </c>
      <c r="Y49" s="25" cm="1">
        <f t="array" ref="Y49">IFERROR(+IF($P49=$S49,PrimoF,
IF($Q49=":",PrimoF/SecondoF,
IF($Q49="+",PrimoF+SecondoF,
IF($Q49="-",PrimoF-SecondoF,
PrimoF*SecondoF)))),0)</f>
        <v>0</v>
      </c>
      <c r="Z49" s="26">
        <f t="shared" si="3"/>
        <v>0</v>
      </c>
      <c r="AA49" s="27" cm="1">
        <f t="array" ref="AA49">+IFERROR(IF($P49=$S49,PrimoF,
IF($Q49=":",PrimoF/SecondoF,
IF($Q49="+",PrimoF+SecondoF,
IF($Q49="-",PrimoF-SecondoF,
PrimoF*SecondoF)))),0)</f>
        <v>0</v>
      </c>
      <c r="AB49" s="25" cm="1">
        <f t="array" ref="AB49">IFERROR(+IF($P49=$S49,PrimoF,
IF($Q49=":",PrimoF/SecondoF,
IF($Q49="+",PrimoF+SecondoF,
IF($Q49="-",PrimoF-SecondoF,
PrimoF*SecondoF)))),0)</f>
        <v>0</v>
      </c>
      <c r="AC49" s="26">
        <f t="shared" si="4"/>
        <v>0</v>
      </c>
      <c r="AD49" s="27" cm="1">
        <f t="array" ref="AD49">IFERROR(+IF($P49=$S49,PrimoF,
IF($Q49=":",PrimoF/SecondoF,
IF($Q49="+",PrimoF+SecondoF,
IF($Q49="-",PrimoF-SecondoF,
PrimoF*SecondoF)))),0)</f>
        <v>0</v>
      </c>
      <c r="AE49" s="25" cm="1">
        <f t="array" ref="AE49">IFERROR(+IF($P49=$S49,PrimoF,
IF($Q49=":",PrimoF/SecondoF,
IF($Q49="+",PrimoF+SecondoF,
IF($Q49="-",PrimoF-SecondoF,
PrimoF*SecondoF)))),0)</f>
        <v>0</v>
      </c>
      <c r="AF49" s="26">
        <f t="shared" si="5"/>
        <v>0</v>
      </c>
      <c r="AI49" s="4">
        <f>+IF(OR(AI48=0,AI48+1&gt;MAX(DatiExtra[NDPRG])),0,AI48+1)</f>
        <v>0</v>
      </c>
      <c r="AJ49" s="6" t="str">
        <f>+IF(AI49&gt;0,VLOOKUP(AI49,DatiExtra[[NDPRG]:[Ndata]],2,0),"")</f>
        <v/>
      </c>
    </row>
    <row r="50" spans="4:36" x14ac:dyDescent="0.2">
      <c r="D50" s="8" t="s">
        <v>15</v>
      </c>
      <c r="E50" s="13" t="str">
        <f>+IF(DatiExtra[[#This Row],[Cod Fattore]]="","",VLOOKUP(DatiExtra[[#This Row],[Cod Fattore]],ElencoKPI[],2,0))</f>
        <v>Dipendenti commerciali</v>
      </c>
      <c r="F50" s="28">
        <v>21.75</v>
      </c>
      <c r="G50" s="15">
        <v>45016</v>
      </c>
      <c r="H50" s="8"/>
      <c r="I50" s="13" t="str">
        <f>+IF(DatiExtra[[#This Row],[Budget]],"Budget","Consuntivo")</f>
        <v>Consuntivo</v>
      </c>
      <c r="J50" s="3">
        <f>+(COUNTIF($G$5:G50,DatiExtra[[#This Row],[Data]])=1)*1</f>
        <v>0</v>
      </c>
      <c r="K50" s="3">
        <f>+SUM($J$5:J50)*(DatiExtra[[#This Row],[ND]]=1)</f>
        <v>0</v>
      </c>
      <c r="L50" s="6" t="str">
        <f>+IF(DatiExtra[[#This Row],[NDPRG]]&gt;0,DatiExtra[[#This Row],[Data]],"")</f>
        <v/>
      </c>
      <c r="M50" s="6"/>
      <c r="N50" s="19">
        <v>44</v>
      </c>
      <c r="O50" s="7"/>
      <c r="P50" s="7"/>
      <c r="Q50" s="7"/>
      <c r="R50" s="7"/>
      <c r="S50" s="31" t="str">
        <f t="shared" si="1"/>
        <v/>
      </c>
      <c r="T50" s="7"/>
      <c r="U50" s="24" cm="1">
        <f t="array" ref="U50">IFERROR(+IF($P50=$S50,PrimoF,
IF($Q50=":",PrimoF/SecondoF,
IF($Q50="+",PrimoF+SecondoF,
IF($Q50="-",PrimoF-SecondoF,
PrimoF*SecondoF)))),0)</f>
        <v>0</v>
      </c>
      <c r="V50" s="25" cm="1">
        <f t="array" ref="V50">IFERROR(+IF($P50=$S50,PrimoF,
IF($Q50=":",PrimoF/SecondoF,
IF($Q50="+",PrimoF+SecondoF,
IF($Q50="-",PrimoF-SecondoF,
PrimoF*SecondoF)))),0)</f>
        <v>0</v>
      </c>
      <c r="W50" s="26">
        <f t="shared" si="2"/>
        <v>0</v>
      </c>
      <c r="X50" s="27" cm="1">
        <f t="array" ref="X50">IFERROR(+IF($P50=$S50,PrimoF,
IF($Q50=":",PrimoF/SecondoF,
IF($Q50="+",PrimoF+SecondoF,
IF($Q50="-",PrimoF-SecondoF,
PrimoF*SecondoF)))),0)</f>
        <v>0</v>
      </c>
      <c r="Y50" s="25" cm="1">
        <f t="array" ref="Y50">IFERROR(+IF($P50=$S50,PrimoF,
IF($Q50=":",PrimoF/SecondoF,
IF($Q50="+",PrimoF+SecondoF,
IF($Q50="-",PrimoF-SecondoF,
PrimoF*SecondoF)))),0)</f>
        <v>0</v>
      </c>
      <c r="Z50" s="26">
        <f t="shared" si="3"/>
        <v>0</v>
      </c>
      <c r="AA50" s="27" cm="1">
        <f t="array" ref="AA50">+IFERROR(IF($P50=$S50,PrimoF,
IF($Q50=":",PrimoF/SecondoF,
IF($Q50="+",PrimoF+SecondoF,
IF($Q50="-",PrimoF-SecondoF,
PrimoF*SecondoF)))),0)</f>
        <v>0</v>
      </c>
      <c r="AB50" s="25" cm="1">
        <f t="array" ref="AB50">IFERROR(+IF($P50=$S50,PrimoF,
IF($Q50=":",PrimoF/SecondoF,
IF($Q50="+",PrimoF+SecondoF,
IF($Q50="-",PrimoF-SecondoF,
PrimoF*SecondoF)))),0)</f>
        <v>0</v>
      </c>
      <c r="AC50" s="26">
        <f t="shared" si="4"/>
        <v>0</v>
      </c>
      <c r="AD50" s="27" cm="1">
        <f t="array" ref="AD50">IFERROR(+IF($P50=$S50,PrimoF,
IF($Q50=":",PrimoF/SecondoF,
IF($Q50="+",PrimoF+SecondoF,
IF($Q50="-",PrimoF-SecondoF,
PrimoF*SecondoF)))),0)</f>
        <v>0</v>
      </c>
      <c r="AE50" s="25" cm="1">
        <f t="array" ref="AE50">IFERROR(+IF($P50=$S50,PrimoF,
IF($Q50=":",PrimoF/SecondoF,
IF($Q50="+",PrimoF+SecondoF,
IF($Q50="-",PrimoF-SecondoF,
PrimoF*SecondoF)))),0)</f>
        <v>0</v>
      </c>
      <c r="AF50" s="26">
        <f t="shared" si="5"/>
        <v>0</v>
      </c>
      <c r="AI50" s="4">
        <f>+IF(OR(AI49=0,AI49+1&gt;MAX(DatiExtra[NDPRG])),0,AI49+1)</f>
        <v>0</v>
      </c>
      <c r="AJ50" s="6" t="str">
        <f>+IF(AI50&gt;0,VLOOKUP(AI50,DatiExtra[[NDPRG]:[Ndata]],2,0),"")</f>
        <v/>
      </c>
    </row>
    <row r="51" spans="4:36" x14ac:dyDescent="0.2">
      <c r="D51" s="8" t="s">
        <v>15</v>
      </c>
      <c r="E51" s="13" t="str">
        <f>+IF(DatiExtra[[#This Row],[Cod Fattore]]="","",VLOOKUP(DatiExtra[[#This Row],[Cod Fattore]],ElencoKPI[],2,0))</f>
        <v>Dipendenti commerciali</v>
      </c>
      <c r="F51" s="28">
        <v>26.52</v>
      </c>
      <c r="G51" s="15">
        <v>45107</v>
      </c>
      <c r="H51" s="8"/>
      <c r="I51" s="13" t="str">
        <f>+IF(DatiExtra[[#This Row],[Budget]],"Budget","Consuntivo")</f>
        <v>Consuntivo</v>
      </c>
      <c r="J51" s="3">
        <f>+(COUNTIF($G$5:G51,DatiExtra[[#This Row],[Data]])=1)*1</f>
        <v>0</v>
      </c>
      <c r="K51" s="3">
        <f>+SUM($J$5:J51)*(DatiExtra[[#This Row],[ND]]=1)</f>
        <v>0</v>
      </c>
      <c r="L51" s="6" t="str">
        <f>+IF(DatiExtra[[#This Row],[NDPRG]]&gt;0,DatiExtra[[#This Row],[Data]],"")</f>
        <v/>
      </c>
      <c r="M51" s="6"/>
      <c r="N51" s="19">
        <v>45</v>
      </c>
      <c r="O51" s="7"/>
      <c r="P51" s="7"/>
      <c r="Q51" s="7"/>
      <c r="R51" s="7"/>
      <c r="S51" s="31" t="str">
        <f t="shared" si="1"/>
        <v/>
      </c>
      <c r="T51" s="7"/>
      <c r="U51" s="24" cm="1">
        <f t="array" ref="U51">IFERROR(+IF($P51=$S51,PrimoF,
IF($Q51=":",PrimoF/SecondoF,
IF($Q51="+",PrimoF+SecondoF,
IF($Q51="-",PrimoF-SecondoF,
PrimoF*SecondoF)))),0)</f>
        <v>0</v>
      </c>
      <c r="V51" s="25" cm="1">
        <f t="array" ref="V51">IFERROR(+IF($P51=$S51,PrimoF,
IF($Q51=":",PrimoF/SecondoF,
IF($Q51="+",PrimoF+SecondoF,
IF($Q51="-",PrimoF-SecondoF,
PrimoF*SecondoF)))),0)</f>
        <v>0</v>
      </c>
      <c r="W51" s="26">
        <f t="shared" si="2"/>
        <v>0</v>
      </c>
      <c r="X51" s="27" cm="1">
        <f t="array" ref="X51">IFERROR(+IF($P51=$S51,PrimoF,
IF($Q51=":",PrimoF/SecondoF,
IF($Q51="+",PrimoF+SecondoF,
IF($Q51="-",PrimoF-SecondoF,
PrimoF*SecondoF)))),0)</f>
        <v>0</v>
      </c>
      <c r="Y51" s="25" cm="1">
        <f t="array" ref="Y51">IFERROR(+IF($P51=$S51,PrimoF,
IF($Q51=":",PrimoF/SecondoF,
IF($Q51="+",PrimoF+SecondoF,
IF($Q51="-",PrimoF-SecondoF,
PrimoF*SecondoF)))),0)</f>
        <v>0</v>
      </c>
      <c r="Z51" s="26">
        <f t="shared" si="3"/>
        <v>0</v>
      </c>
      <c r="AA51" s="27" cm="1">
        <f t="array" ref="AA51">+IFERROR(IF($P51=$S51,PrimoF,
IF($Q51=":",PrimoF/SecondoF,
IF($Q51="+",PrimoF+SecondoF,
IF($Q51="-",PrimoF-SecondoF,
PrimoF*SecondoF)))),0)</f>
        <v>0</v>
      </c>
      <c r="AB51" s="25" cm="1">
        <f t="array" ref="AB51">IFERROR(+IF($P51=$S51,PrimoF,
IF($Q51=":",PrimoF/SecondoF,
IF($Q51="+",PrimoF+SecondoF,
IF($Q51="-",PrimoF-SecondoF,
PrimoF*SecondoF)))),0)</f>
        <v>0</v>
      </c>
      <c r="AC51" s="26">
        <f t="shared" si="4"/>
        <v>0</v>
      </c>
      <c r="AD51" s="27" cm="1">
        <f t="array" ref="AD51">IFERROR(+IF($P51=$S51,PrimoF,
IF($Q51=":",PrimoF/SecondoF,
IF($Q51="+",PrimoF+SecondoF,
IF($Q51="-",PrimoF-SecondoF,
PrimoF*SecondoF)))),0)</f>
        <v>0</v>
      </c>
      <c r="AE51" s="25" cm="1">
        <f t="array" ref="AE51">IFERROR(+IF($P51=$S51,PrimoF,
IF($Q51=":",PrimoF/SecondoF,
IF($Q51="+",PrimoF+SecondoF,
IF($Q51="-",PrimoF-SecondoF,
PrimoF*SecondoF)))),0)</f>
        <v>0</v>
      </c>
      <c r="AF51" s="26">
        <f t="shared" si="5"/>
        <v>0</v>
      </c>
      <c r="AI51" s="4">
        <f>+IF(OR(AI50=0,AI50+1&gt;MAX(DatiExtra[NDPRG])),0,AI50+1)</f>
        <v>0</v>
      </c>
      <c r="AJ51" s="6" t="str">
        <f>+IF(AI51&gt;0,VLOOKUP(AI51,DatiExtra[[NDPRG]:[Ndata]],2,0),"")</f>
        <v/>
      </c>
    </row>
    <row r="52" spans="4:36" x14ac:dyDescent="0.2">
      <c r="D52" s="8" t="s">
        <v>15</v>
      </c>
      <c r="E52" s="13" t="str">
        <f>+IF(DatiExtra[[#This Row],[Cod Fattore]]="","",VLOOKUP(DatiExtra[[#This Row],[Cod Fattore]],ElencoKPI[],2,0))</f>
        <v>Dipendenti commerciali</v>
      </c>
      <c r="F52" s="28">
        <v>26.26</v>
      </c>
      <c r="G52" s="15">
        <v>45199</v>
      </c>
      <c r="H52" s="8"/>
      <c r="I52" s="13" t="str">
        <f>+IF(DatiExtra[[#This Row],[Budget]],"Budget","Consuntivo")</f>
        <v>Consuntivo</v>
      </c>
      <c r="J52" s="3">
        <f>+(COUNTIF($G$5:G52,DatiExtra[[#This Row],[Data]])=1)*1</f>
        <v>0</v>
      </c>
      <c r="K52" s="3">
        <f>+SUM($J$5:J52)*(DatiExtra[[#This Row],[ND]]=1)</f>
        <v>0</v>
      </c>
      <c r="L52" s="6" t="str">
        <f>+IF(DatiExtra[[#This Row],[NDPRG]]&gt;0,DatiExtra[[#This Row],[Data]],"")</f>
        <v/>
      </c>
      <c r="M52" s="6"/>
      <c r="N52" s="19">
        <v>46</v>
      </c>
      <c r="O52" s="7"/>
      <c r="P52" s="7"/>
      <c r="Q52" s="7"/>
      <c r="R52" s="7"/>
      <c r="S52" s="31" t="str">
        <f t="shared" si="1"/>
        <v/>
      </c>
      <c r="T52" s="7"/>
      <c r="U52" s="24" cm="1">
        <f t="array" ref="U52">IFERROR(+IF($P52=$S52,PrimoF,
IF($Q52=":",PrimoF/SecondoF,
IF($Q52="+",PrimoF+SecondoF,
IF($Q52="-",PrimoF-SecondoF,
PrimoF*SecondoF)))),0)</f>
        <v>0</v>
      </c>
      <c r="V52" s="25" cm="1">
        <f t="array" ref="V52">IFERROR(+IF($P52=$S52,PrimoF,
IF($Q52=":",PrimoF/SecondoF,
IF($Q52="+",PrimoF+SecondoF,
IF($Q52="-",PrimoF-SecondoF,
PrimoF*SecondoF)))),0)</f>
        <v>0</v>
      </c>
      <c r="W52" s="26">
        <f t="shared" si="2"/>
        <v>0</v>
      </c>
      <c r="X52" s="27" cm="1">
        <f t="array" ref="X52">IFERROR(+IF($P52=$S52,PrimoF,
IF($Q52=":",PrimoF/SecondoF,
IF($Q52="+",PrimoF+SecondoF,
IF($Q52="-",PrimoF-SecondoF,
PrimoF*SecondoF)))),0)</f>
        <v>0</v>
      </c>
      <c r="Y52" s="25" cm="1">
        <f t="array" ref="Y52">IFERROR(+IF($P52=$S52,PrimoF,
IF($Q52=":",PrimoF/SecondoF,
IF($Q52="+",PrimoF+SecondoF,
IF($Q52="-",PrimoF-SecondoF,
PrimoF*SecondoF)))),0)</f>
        <v>0</v>
      </c>
      <c r="Z52" s="26">
        <f t="shared" si="3"/>
        <v>0</v>
      </c>
      <c r="AA52" s="27" cm="1">
        <f t="array" ref="AA52">+IFERROR(IF($P52=$S52,PrimoF,
IF($Q52=":",PrimoF/SecondoF,
IF($Q52="+",PrimoF+SecondoF,
IF($Q52="-",PrimoF-SecondoF,
PrimoF*SecondoF)))),0)</f>
        <v>0</v>
      </c>
      <c r="AB52" s="25" cm="1">
        <f t="array" ref="AB52">IFERROR(+IF($P52=$S52,PrimoF,
IF($Q52=":",PrimoF/SecondoF,
IF($Q52="+",PrimoF+SecondoF,
IF($Q52="-",PrimoF-SecondoF,
PrimoF*SecondoF)))),0)</f>
        <v>0</v>
      </c>
      <c r="AC52" s="26">
        <f t="shared" si="4"/>
        <v>0</v>
      </c>
      <c r="AD52" s="27" cm="1">
        <f t="array" ref="AD52">IFERROR(+IF($P52=$S52,PrimoF,
IF($Q52=":",PrimoF/SecondoF,
IF($Q52="+",PrimoF+SecondoF,
IF($Q52="-",PrimoF-SecondoF,
PrimoF*SecondoF)))),0)</f>
        <v>0</v>
      </c>
      <c r="AE52" s="25" cm="1">
        <f t="array" ref="AE52">IFERROR(+IF($P52=$S52,PrimoF,
IF($Q52=":",PrimoF/SecondoF,
IF($Q52="+",PrimoF+SecondoF,
IF($Q52="-",PrimoF-SecondoF,
PrimoF*SecondoF)))),0)</f>
        <v>0</v>
      </c>
      <c r="AF52" s="26">
        <f t="shared" si="5"/>
        <v>0</v>
      </c>
      <c r="AI52" s="4">
        <f>+IF(OR(AI51=0,AI51+1&gt;MAX(DatiExtra[NDPRG])),0,AI51+1)</f>
        <v>0</v>
      </c>
      <c r="AJ52" s="6" t="str">
        <f>+IF(AI52&gt;0,VLOOKUP(AI52,DatiExtra[[NDPRG]:[Ndata]],2,0),"")</f>
        <v/>
      </c>
    </row>
    <row r="53" spans="4:36" x14ac:dyDescent="0.2">
      <c r="D53" s="8" t="s">
        <v>15</v>
      </c>
      <c r="E53" s="13" t="str">
        <f>+IF(DatiExtra[[#This Row],[Cod Fattore]]="","",VLOOKUP(DatiExtra[[#This Row],[Cod Fattore]],ElencoKPI[],2,0))</f>
        <v>Dipendenti commerciali</v>
      </c>
      <c r="F53" s="28">
        <v>28.84</v>
      </c>
      <c r="G53" s="15">
        <v>45291</v>
      </c>
      <c r="H53" s="8"/>
      <c r="I53" s="13" t="str">
        <f>+IF(DatiExtra[[#This Row],[Budget]],"Budget","Consuntivo")</f>
        <v>Consuntivo</v>
      </c>
      <c r="J53" s="3">
        <f>+(COUNTIF($G$5:G53,DatiExtra[[#This Row],[Data]])=1)*1</f>
        <v>0</v>
      </c>
      <c r="K53" s="3">
        <f>+SUM($J$5:J53)*(DatiExtra[[#This Row],[ND]]=1)</f>
        <v>0</v>
      </c>
      <c r="L53" s="6" t="str">
        <f>+IF(DatiExtra[[#This Row],[NDPRG]]&gt;0,DatiExtra[[#This Row],[Data]],"")</f>
        <v/>
      </c>
      <c r="M53" s="6"/>
      <c r="N53" s="19">
        <v>47</v>
      </c>
      <c r="O53" s="7"/>
      <c r="P53" s="7"/>
      <c r="Q53" s="7"/>
      <c r="R53" s="7"/>
      <c r="S53" s="31" t="str">
        <f t="shared" si="1"/>
        <v/>
      </c>
      <c r="T53" s="7"/>
      <c r="U53" s="24" cm="1">
        <f t="array" ref="U53">IFERROR(+IF($P53=$S53,PrimoF,
IF($Q53=":",PrimoF/SecondoF,
IF($Q53="+",PrimoF+SecondoF,
IF($Q53="-",PrimoF-SecondoF,
PrimoF*SecondoF)))),0)</f>
        <v>0</v>
      </c>
      <c r="V53" s="25" cm="1">
        <f t="array" ref="V53">IFERROR(+IF($P53=$S53,PrimoF,
IF($Q53=":",PrimoF/SecondoF,
IF($Q53="+",PrimoF+SecondoF,
IF($Q53="-",PrimoF-SecondoF,
PrimoF*SecondoF)))),0)</f>
        <v>0</v>
      </c>
      <c r="W53" s="26">
        <f t="shared" si="2"/>
        <v>0</v>
      </c>
      <c r="X53" s="27" cm="1">
        <f t="array" ref="X53">IFERROR(+IF($P53=$S53,PrimoF,
IF($Q53=":",PrimoF/SecondoF,
IF($Q53="+",PrimoF+SecondoF,
IF($Q53="-",PrimoF-SecondoF,
PrimoF*SecondoF)))),0)</f>
        <v>0</v>
      </c>
      <c r="Y53" s="25" cm="1">
        <f t="array" ref="Y53">IFERROR(+IF($P53=$S53,PrimoF,
IF($Q53=":",PrimoF/SecondoF,
IF($Q53="+",PrimoF+SecondoF,
IF($Q53="-",PrimoF-SecondoF,
PrimoF*SecondoF)))),0)</f>
        <v>0</v>
      </c>
      <c r="Z53" s="26">
        <f t="shared" si="3"/>
        <v>0</v>
      </c>
      <c r="AA53" s="27" cm="1">
        <f t="array" ref="AA53">+IFERROR(IF($P53=$S53,PrimoF,
IF($Q53=":",PrimoF/SecondoF,
IF($Q53="+",PrimoF+SecondoF,
IF($Q53="-",PrimoF-SecondoF,
PrimoF*SecondoF)))),0)</f>
        <v>0</v>
      </c>
      <c r="AB53" s="25" cm="1">
        <f t="array" ref="AB53">IFERROR(+IF($P53=$S53,PrimoF,
IF($Q53=":",PrimoF/SecondoF,
IF($Q53="+",PrimoF+SecondoF,
IF($Q53="-",PrimoF-SecondoF,
PrimoF*SecondoF)))),0)</f>
        <v>0</v>
      </c>
      <c r="AC53" s="26">
        <f t="shared" si="4"/>
        <v>0</v>
      </c>
      <c r="AD53" s="27" cm="1">
        <f t="array" ref="AD53">IFERROR(+IF($P53=$S53,PrimoF,
IF($Q53=":",PrimoF/SecondoF,
IF($Q53="+",PrimoF+SecondoF,
IF($Q53="-",PrimoF-SecondoF,
PrimoF*SecondoF)))),0)</f>
        <v>0</v>
      </c>
      <c r="AE53" s="25" cm="1">
        <f t="array" ref="AE53">IFERROR(+IF($P53=$S53,PrimoF,
IF($Q53=":",PrimoF/SecondoF,
IF($Q53="+",PrimoF+SecondoF,
IF($Q53="-",PrimoF-SecondoF,
PrimoF*SecondoF)))),0)</f>
        <v>0</v>
      </c>
      <c r="AF53" s="26">
        <f t="shared" si="5"/>
        <v>0</v>
      </c>
      <c r="AI53" s="4">
        <f>+IF(OR(AI52=0,AI52+1&gt;MAX(DatiExtra[NDPRG])),0,AI52+1)</f>
        <v>0</v>
      </c>
      <c r="AJ53" s="6" t="str">
        <f>+IF(AI53&gt;0,VLOOKUP(AI53,DatiExtra[[NDPRG]:[Ndata]],2,0),"")</f>
        <v/>
      </c>
    </row>
    <row r="54" spans="4:36" x14ac:dyDescent="0.2">
      <c r="D54" s="8" t="s">
        <v>17</v>
      </c>
      <c r="E54" s="13" t="str">
        <f>+IF(DatiExtra[[#This Row],[Cod Fattore]]="","",VLOOKUP(DatiExtra[[#This Row],[Cod Fattore]],ElencoKPI[],2,0))</f>
        <v>Ore di Formazione</v>
      </c>
      <c r="F54" s="28">
        <v>100.8</v>
      </c>
      <c r="G54" s="15">
        <v>45016</v>
      </c>
      <c r="H54" s="8"/>
      <c r="I54" s="13" t="str">
        <f>+IF(DatiExtra[[#This Row],[Budget]],"Budget","Consuntivo")</f>
        <v>Consuntivo</v>
      </c>
      <c r="J54" s="3">
        <f>+(COUNTIF($G$5:G54,DatiExtra[[#This Row],[Data]])=1)*1</f>
        <v>0</v>
      </c>
      <c r="K54" s="3">
        <f>+SUM($J$5:J54)*(DatiExtra[[#This Row],[ND]]=1)</f>
        <v>0</v>
      </c>
      <c r="L54" s="6" t="str">
        <f>+IF(DatiExtra[[#This Row],[NDPRG]]&gt;0,DatiExtra[[#This Row],[Data]],"")</f>
        <v/>
      </c>
      <c r="M54" s="6"/>
      <c r="N54" s="19">
        <v>48</v>
      </c>
      <c r="O54" s="7"/>
      <c r="P54" s="7"/>
      <c r="Q54" s="7"/>
      <c r="R54" s="7"/>
      <c r="S54" s="31" t="str">
        <f t="shared" si="1"/>
        <v/>
      </c>
      <c r="T54" s="7"/>
      <c r="U54" s="24" cm="1">
        <f t="array" ref="U54">IFERROR(+IF($P54=$S54,PrimoF,
IF($Q54=":",PrimoF/SecondoF,
IF($Q54="+",PrimoF+SecondoF,
IF($Q54="-",PrimoF-SecondoF,
PrimoF*SecondoF)))),0)</f>
        <v>0</v>
      </c>
      <c r="V54" s="25" cm="1">
        <f t="array" ref="V54">IFERROR(+IF($P54=$S54,PrimoF,
IF($Q54=":",PrimoF/SecondoF,
IF($Q54="+",PrimoF+SecondoF,
IF($Q54="-",PrimoF-SecondoF,
PrimoF*SecondoF)))),0)</f>
        <v>0</v>
      </c>
      <c r="W54" s="26">
        <f t="shared" si="2"/>
        <v>0</v>
      </c>
      <c r="X54" s="27" cm="1">
        <f t="array" ref="X54">IFERROR(+IF($P54=$S54,PrimoF,
IF($Q54=":",PrimoF/SecondoF,
IF($Q54="+",PrimoF+SecondoF,
IF($Q54="-",PrimoF-SecondoF,
PrimoF*SecondoF)))),0)</f>
        <v>0</v>
      </c>
      <c r="Y54" s="25" cm="1">
        <f t="array" ref="Y54">IFERROR(+IF($P54=$S54,PrimoF,
IF($Q54=":",PrimoF/SecondoF,
IF($Q54="+",PrimoF+SecondoF,
IF($Q54="-",PrimoF-SecondoF,
PrimoF*SecondoF)))),0)</f>
        <v>0</v>
      </c>
      <c r="Z54" s="26">
        <f t="shared" si="3"/>
        <v>0</v>
      </c>
      <c r="AA54" s="27" cm="1">
        <f t="array" ref="AA54">+IFERROR(IF($P54=$S54,PrimoF,
IF($Q54=":",PrimoF/SecondoF,
IF($Q54="+",PrimoF+SecondoF,
IF($Q54="-",PrimoF-SecondoF,
PrimoF*SecondoF)))),0)</f>
        <v>0</v>
      </c>
      <c r="AB54" s="25" cm="1">
        <f t="array" ref="AB54">IFERROR(+IF($P54=$S54,PrimoF,
IF($Q54=":",PrimoF/SecondoF,
IF($Q54="+",PrimoF+SecondoF,
IF($Q54="-",PrimoF-SecondoF,
PrimoF*SecondoF)))),0)</f>
        <v>0</v>
      </c>
      <c r="AC54" s="26">
        <f t="shared" si="4"/>
        <v>0</v>
      </c>
      <c r="AD54" s="27" cm="1">
        <f t="array" ref="AD54">IFERROR(+IF($P54=$S54,PrimoF,
IF($Q54=":",PrimoF/SecondoF,
IF($Q54="+",PrimoF+SecondoF,
IF($Q54="-",PrimoF-SecondoF,
PrimoF*SecondoF)))),0)</f>
        <v>0</v>
      </c>
      <c r="AE54" s="25" cm="1">
        <f t="array" ref="AE54">IFERROR(+IF($P54=$S54,PrimoF,
IF($Q54=":",PrimoF/SecondoF,
IF($Q54="+",PrimoF+SecondoF,
IF($Q54="-",PrimoF-SecondoF,
PrimoF*SecondoF)))),0)</f>
        <v>0</v>
      </c>
      <c r="AF54" s="26">
        <f t="shared" si="5"/>
        <v>0</v>
      </c>
      <c r="AI54" s="4">
        <f>+IF(OR(AI53=0,AI53+1&gt;MAX(DatiExtra[NDPRG])),0,AI53+1)</f>
        <v>0</v>
      </c>
      <c r="AJ54" s="6" t="str">
        <f>+IF(AI54&gt;0,VLOOKUP(AI54,DatiExtra[[NDPRG]:[Ndata]],2,0),"")</f>
        <v/>
      </c>
    </row>
    <row r="55" spans="4:36" x14ac:dyDescent="0.2">
      <c r="D55" s="8" t="s">
        <v>17</v>
      </c>
      <c r="E55" s="13" t="str">
        <f>+IF(DatiExtra[[#This Row],[Cod Fattore]]="","",VLOOKUP(DatiExtra[[#This Row],[Cod Fattore]],ElencoKPI[],2,0))</f>
        <v>Ore di Formazione</v>
      </c>
      <c r="F55" s="28">
        <v>113.1</v>
      </c>
      <c r="G55" s="15">
        <v>45107</v>
      </c>
      <c r="H55" s="8"/>
      <c r="I55" s="13" t="str">
        <f>+IF(DatiExtra[[#This Row],[Budget]],"Budget","Consuntivo")</f>
        <v>Consuntivo</v>
      </c>
      <c r="J55" s="3">
        <f>+(COUNTIF($G$5:G55,DatiExtra[[#This Row],[Data]])=1)*1</f>
        <v>0</v>
      </c>
      <c r="K55" s="3">
        <f>+SUM($J$5:J55)*(DatiExtra[[#This Row],[ND]]=1)</f>
        <v>0</v>
      </c>
      <c r="L55" s="6" t="str">
        <f>+IF(DatiExtra[[#This Row],[NDPRG]]&gt;0,DatiExtra[[#This Row],[Data]],"")</f>
        <v/>
      </c>
      <c r="M55" s="6"/>
      <c r="N55" s="19">
        <v>49</v>
      </c>
      <c r="O55" s="7"/>
      <c r="P55" s="7"/>
      <c r="Q55" s="7"/>
      <c r="R55" s="7"/>
      <c r="S55" s="31" t="str">
        <f t="shared" si="1"/>
        <v/>
      </c>
      <c r="T55" s="7"/>
      <c r="U55" s="24" cm="1">
        <f t="array" ref="U55">IFERROR(+IF($P55=$S55,PrimoF,
IF($Q55=":",PrimoF/SecondoF,
IF($Q55="+",PrimoF+SecondoF,
IF($Q55="-",PrimoF-SecondoF,
PrimoF*SecondoF)))),0)</f>
        <v>0</v>
      </c>
      <c r="V55" s="25" cm="1">
        <f t="array" ref="V55">IFERROR(+IF($P55=$S55,PrimoF,
IF($Q55=":",PrimoF/SecondoF,
IF($Q55="+",PrimoF+SecondoF,
IF($Q55="-",PrimoF-SecondoF,
PrimoF*SecondoF)))),0)</f>
        <v>0</v>
      </c>
      <c r="W55" s="26">
        <f t="shared" si="2"/>
        <v>0</v>
      </c>
      <c r="X55" s="27" cm="1">
        <f t="array" ref="X55">IFERROR(+IF($P55=$S55,PrimoF,
IF($Q55=":",PrimoF/SecondoF,
IF($Q55="+",PrimoF+SecondoF,
IF($Q55="-",PrimoF-SecondoF,
PrimoF*SecondoF)))),0)</f>
        <v>0</v>
      </c>
      <c r="Y55" s="25" cm="1">
        <f t="array" ref="Y55">IFERROR(+IF($P55=$S55,PrimoF,
IF($Q55=":",PrimoF/SecondoF,
IF($Q55="+",PrimoF+SecondoF,
IF($Q55="-",PrimoF-SecondoF,
PrimoF*SecondoF)))),0)</f>
        <v>0</v>
      </c>
      <c r="Z55" s="26">
        <f t="shared" si="3"/>
        <v>0</v>
      </c>
      <c r="AA55" s="27" cm="1">
        <f t="array" ref="AA55">+IFERROR(IF($P55=$S55,PrimoF,
IF($Q55=":",PrimoF/SecondoF,
IF($Q55="+",PrimoF+SecondoF,
IF($Q55="-",PrimoF-SecondoF,
PrimoF*SecondoF)))),0)</f>
        <v>0</v>
      </c>
      <c r="AB55" s="25" cm="1">
        <f t="array" ref="AB55">IFERROR(+IF($P55=$S55,PrimoF,
IF($Q55=":",PrimoF/SecondoF,
IF($Q55="+",PrimoF+SecondoF,
IF($Q55="-",PrimoF-SecondoF,
PrimoF*SecondoF)))),0)</f>
        <v>0</v>
      </c>
      <c r="AC55" s="26">
        <f t="shared" si="4"/>
        <v>0</v>
      </c>
      <c r="AD55" s="27" cm="1">
        <f t="array" ref="AD55">IFERROR(+IF($P55=$S55,PrimoF,
IF($Q55=":",PrimoF/SecondoF,
IF($Q55="+",PrimoF+SecondoF,
IF($Q55="-",PrimoF-SecondoF,
PrimoF*SecondoF)))),0)</f>
        <v>0</v>
      </c>
      <c r="AE55" s="25" cm="1">
        <f t="array" ref="AE55">IFERROR(+IF($P55=$S55,PrimoF,
IF($Q55=":",PrimoF/SecondoF,
IF($Q55="+",PrimoF+SecondoF,
IF($Q55="-",PrimoF-SecondoF,
PrimoF*SecondoF)))),0)</f>
        <v>0</v>
      </c>
      <c r="AF55" s="26">
        <f t="shared" si="5"/>
        <v>0</v>
      </c>
      <c r="AI55" s="4">
        <f>+IF(OR(AI54=0,AI54+1&gt;MAX(DatiExtra[NDPRG])),0,AI54+1)</f>
        <v>0</v>
      </c>
      <c r="AJ55" s="6" t="str">
        <f>+IF(AI55&gt;0,VLOOKUP(AI55,DatiExtra[[NDPRG]:[Ndata]],2,0),"")</f>
        <v/>
      </c>
    </row>
    <row r="56" spans="4:36" x14ac:dyDescent="0.2">
      <c r="D56" s="8" t="s">
        <v>17</v>
      </c>
      <c r="E56" s="13" t="str">
        <f>+IF(DatiExtra[[#This Row],[Cod Fattore]]="","",VLOOKUP(DatiExtra[[#This Row],[Cod Fattore]],ElencoKPI[],2,0))</f>
        <v>Ore di Formazione</v>
      </c>
      <c r="F56" s="28">
        <v>100</v>
      </c>
      <c r="G56" s="15">
        <v>45199</v>
      </c>
      <c r="H56" s="8"/>
      <c r="I56" s="13" t="str">
        <f>+IF(DatiExtra[[#This Row],[Budget]],"Budget","Consuntivo")</f>
        <v>Consuntivo</v>
      </c>
      <c r="J56" s="3">
        <f>+(COUNTIF($G$5:G56,DatiExtra[[#This Row],[Data]])=1)*1</f>
        <v>0</v>
      </c>
      <c r="K56" s="3">
        <f>+SUM($J$5:J56)*(DatiExtra[[#This Row],[ND]]=1)</f>
        <v>0</v>
      </c>
      <c r="L56" s="6" t="str">
        <f>+IF(DatiExtra[[#This Row],[NDPRG]]&gt;0,DatiExtra[[#This Row],[Data]],"")</f>
        <v/>
      </c>
      <c r="M56" s="6"/>
      <c r="N56" s="19">
        <v>50</v>
      </c>
      <c r="O56" s="7"/>
      <c r="P56" s="7"/>
      <c r="Q56" s="7"/>
      <c r="R56" s="7"/>
      <c r="S56" s="31" t="str">
        <f t="shared" si="1"/>
        <v/>
      </c>
      <c r="T56" s="7"/>
      <c r="U56" s="24" cm="1">
        <f t="array" ref="U56">IFERROR(+IF($P56=$S56,PrimoF,
IF($Q56=":",PrimoF/SecondoF,
IF($Q56="+",PrimoF+SecondoF,
IF($Q56="-",PrimoF-SecondoF,
PrimoF*SecondoF)))),0)</f>
        <v>0</v>
      </c>
      <c r="V56" s="25" cm="1">
        <f t="array" ref="V56">IFERROR(+IF($P56=$S56,PrimoF,
IF($Q56=":",PrimoF/SecondoF,
IF($Q56="+",PrimoF+SecondoF,
IF($Q56="-",PrimoF-SecondoF,
PrimoF*SecondoF)))),0)</f>
        <v>0</v>
      </c>
      <c r="W56" s="26">
        <f t="shared" si="2"/>
        <v>0</v>
      </c>
      <c r="X56" s="27" cm="1">
        <f t="array" ref="X56">IFERROR(+IF($P56=$S56,PrimoF,
IF($Q56=":",PrimoF/SecondoF,
IF($Q56="+",PrimoF+SecondoF,
IF($Q56="-",PrimoF-SecondoF,
PrimoF*SecondoF)))),0)</f>
        <v>0</v>
      </c>
      <c r="Y56" s="25" cm="1">
        <f t="array" ref="Y56">IFERROR(+IF($P56=$S56,PrimoF,
IF($Q56=":",PrimoF/SecondoF,
IF($Q56="+",PrimoF+SecondoF,
IF($Q56="-",PrimoF-SecondoF,
PrimoF*SecondoF)))),0)</f>
        <v>0</v>
      </c>
      <c r="Z56" s="26">
        <f t="shared" si="3"/>
        <v>0</v>
      </c>
      <c r="AA56" s="27" cm="1">
        <f t="array" ref="AA56">+IFERROR(IF($P56=$S56,PrimoF,
IF($Q56=":",PrimoF/SecondoF,
IF($Q56="+",PrimoF+SecondoF,
IF($Q56="-",PrimoF-SecondoF,
PrimoF*SecondoF)))),0)</f>
        <v>0</v>
      </c>
      <c r="AB56" s="25" cm="1">
        <f t="array" ref="AB56">IFERROR(+IF($P56=$S56,PrimoF,
IF($Q56=":",PrimoF/SecondoF,
IF($Q56="+",PrimoF+SecondoF,
IF($Q56="-",PrimoF-SecondoF,
PrimoF*SecondoF)))),0)</f>
        <v>0</v>
      </c>
      <c r="AC56" s="26">
        <f t="shared" si="4"/>
        <v>0</v>
      </c>
      <c r="AD56" s="27" cm="1">
        <f t="array" ref="AD56">IFERROR(+IF($P56=$S56,PrimoF,
IF($Q56=":",PrimoF/SecondoF,
IF($Q56="+",PrimoF+SecondoF,
IF($Q56="-",PrimoF-SecondoF,
PrimoF*SecondoF)))),0)</f>
        <v>0</v>
      </c>
      <c r="AE56" s="25" cm="1">
        <f t="array" ref="AE56">IFERROR(+IF($P56=$S56,PrimoF,
IF($Q56=":",PrimoF/SecondoF,
IF($Q56="+",PrimoF+SecondoF,
IF($Q56="-",PrimoF-SecondoF,
PrimoF*SecondoF)))),0)</f>
        <v>0</v>
      </c>
      <c r="AF56" s="26">
        <f t="shared" si="5"/>
        <v>0</v>
      </c>
      <c r="AI56" s="4">
        <f>+IF(OR(AI55=0,AI55+1&gt;MAX(DatiExtra[NDPRG])),0,AI55+1)</f>
        <v>0</v>
      </c>
      <c r="AJ56" s="6" t="str">
        <f>+IF(AI56&gt;0,VLOOKUP(AI56,DatiExtra[[NDPRG]:[Ndata]],2,0),"")</f>
        <v/>
      </c>
    </row>
    <row r="57" spans="4:36" x14ac:dyDescent="0.2">
      <c r="D57" s="8" t="s">
        <v>17</v>
      </c>
      <c r="E57" s="13" t="str">
        <f>+IF(DatiExtra[[#This Row],[Cod Fattore]]="","",VLOOKUP(DatiExtra[[#This Row],[Cod Fattore]],ElencoKPI[],2,0))</f>
        <v>Ore di Formazione</v>
      </c>
      <c r="F57" s="28">
        <v>91.8</v>
      </c>
      <c r="G57" s="15">
        <v>45291</v>
      </c>
      <c r="H57" s="8"/>
      <c r="I57" s="13" t="str">
        <f>+IF(DatiExtra[[#This Row],[Budget]],"Budget","Consuntivo")</f>
        <v>Consuntivo</v>
      </c>
      <c r="J57" s="3">
        <f>+(COUNTIF($G$5:G57,DatiExtra[[#This Row],[Data]])=1)*1</f>
        <v>0</v>
      </c>
      <c r="K57" s="3">
        <f>+SUM($J$5:J57)*(DatiExtra[[#This Row],[ND]]=1)</f>
        <v>0</v>
      </c>
      <c r="L57" s="6" t="str">
        <f>+IF(DatiExtra[[#This Row],[NDPRG]]&gt;0,DatiExtra[[#This Row],[Data]],"")</f>
        <v/>
      </c>
      <c r="M57" s="6"/>
      <c r="AI57" s="4">
        <f>+IF(OR(AI56=0,AI56+1&gt;MAX(DatiExtra[NDPRG])),0,AI56+1)</f>
        <v>0</v>
      </c>
      <c r="AJ57" s="6" t="str">
        <f>+IF(AI57&gt;0,VLOOKUP(AI57,DatiExtra[[NDPRG]:[Ndata]],2,0),"")</f>
        <v/>
      </c>
    </row>
    <row r="58" spans="4:36" x14ac:dyDescent="0.2">
      <c r="D58" s="8" t="s">
        <v>19</v>
      </c>
      <c r="E58" s="13" t="str">
        <f>+IF(DatiExtra[[#This Row],[Cod Fattore]]="","",VLOOKUP(DatiExtra[[#This Row],[Cod Fattore]],ElencoKPI[],2,0))</f>
        <v>Numero nuovi cliente</v>
      </c>
      <c r="F58" s="28">
        <v>16.399999999999999</v>
      </c>
      <c r="G58" s="15">
        <v>45016</v>
      </c>
      <c r="H58" s="8"/>
      <c r="I58" s="13" t="str">
        <f>+IF(DatiExtra[[#This Row],[Budget]],"Budget","Consuntivo")</f>
        <v>Consuntivo</v>
      </c>
      <c r="J58" s="3">
        <f>+(COUNTIF($G$5:G58,DatiExtra[[#This Row],[Data]])=1)*1</f>
        <v>0</v>
      </c>
      <c r="K58" s="3">
        <f>+SUM($J$5:J58)*(DatiExtra[[#This Row],[ND]]=1)</f>
        <v>0</v>
      </c>
      <c r="L58" s="6" t="str">
        <f>+IF(DatiExtra[[#This Row],[NDPRG]]&gt;0,DatiExtra[[#This Row],[Data]],"")</f>
        <v/>
      </c>
      <c r="M58" s="6"/>
      <c r="AI58" s="4">
        <f>+IF(OR(AI57=0,AI57+1&gt;MAX(DatiExtra[NDPRG])),0,AI57+1)</f>
        <v>0</v>
      </c>
      <c r="AJ58" s="6" t="str">
        <f>+IF(AI58&gt;0,VLOOKUP(AI58,DatiExtra[[NDPRG]:[Ndata]],2,0),"")</f>
        <v/>
      </c>
    </row>
    <row r="59" spans="4:36" x14ac:dyDescent="0.2">
      <c r="D59" s="8" t="s">
        <v>19</v>
      </c>
      <c r="E59" s="13" t="str">
        <f>+IF(DatiExtra[[#This Row],[Cod Fattore]]="","",VLOOKUP(DatiExtra[[#This Row],[Cod Fattore]],ElencoKPI[],2,0))</f>
        <v>Numero nuovi cliente</v>
      </c>
      <c r="F59" s="28">
        <v>26.1</v>
      </c>
      <c r="G59" s="15">
        <v>45107</v>
      </c>
      <c r="H59" s="8"/>
      <c r="I59" s="13" t="str">
        <f>+IF(DatiExtra[[#This Row],[Budget]],"Budget","Consuntivo")</f>
        <v>Consuntivo</v>
      </c>
      <c r="J59" s="3">
        <f>+(COUNTIF($G$5:G59,DatiExtra[[#This Row],[Data]])=1)*1</f>
        <v>0</v>
      </c>
      <c r="K59" s="3">
        <f>+SUM($J$5:J59)*(DatiExtra[[#This Row],[ND]]=1)</f>
        <v>0</v>
      </c>
      <c r="L59" s="6" t="str">
        <f>+IF(DatiExtra[[#This Row],[NDPRG]]&gt;0,DatiExtra[[#This Row],[Data]],"")</f>
        <v/>
      </c>
      <c r="M59" s="6"/>
      <c r="AI59" s="4">
        <f>+IF(OR(AI58=0,AI58+1&gt;MAX(DatiExtra[NDPRG])),0,AI58+1)</f>
        <v>0</v>
      </c>
      <c r="AJ59" s="6" t="str">
        <f>+IF(AI59&gt;0,VLOOKUP(AI59,DatiExtra[[NDPRG]:[Ndata]],2,0),"")</f>
        <v/>
      </c>
    </row>
    <row r="60" spans="4:36" x14ac:dyDescent="0.2">
      <c r="D60" s="8" t="s">
        <v>19</v>
      </c>
      <c r="E60" s="13" t="str">
        <f>+IF(DatiExtra[[#This Row],[Cod Fattore]]="","",VLOOKUP(DatiExtra[[#This Row],[Cod Fattore]],ElencoKPI[],2,0))</f>
        <v>Numero nuovi cliente</v>
      </c>
      <c r="F60" s="28">
        <v>20.5</v>
      </c>
      <c r="G60" s="15">
        <v>45199</v>
      </c>
      <c r="H60" s="8"/>
      <c r="I60" s="13" t="str">
        <f>+IF(DatiExtra[[#This Row],[Budget]],"Budget","Consuntivo")</f>
        <v>Consuntivo</v>
      </c>
      <c r="J60" s="3">
        <f>+(COUNTIF($G$5:G60,DatiExtra[[#This Row],[Data]])=1)*1</f>
        <v>0</v>
      </c>
      <c r="K60" s="3">
        <f>+SUM($J$5:J60)*(DatiExtra[[#This Row],[ND]]=1)</f>
        <v>0</v>
      </c>
      <c r="L60" s="6" t="str">
        <f>+IF(DatiExtra[[#This Row],[NDPRG]]&gt;0,DatiExtra[[#This Row],[Data]],"")</f>
        <v/>
      </c>
      <c r="M60" s="6"/>
      <c r="AI60" s="4">
        <f>+IF(OR(AI59=0,AI59+1&gt;MAX(DatiExtra[NDPRG])),0,AI59+1)</f>
        <v>0</v>
      </c>
      <c r="AJ60" s="6" t="str">
        <f>+IF(AI60&gt;0,VLOOKUP(AI60,DatiExtra[[NDPRG]:[Ndata]],2,0),"")</f>
        <v/>
      </c>
    </row>
    <row r="61" spans="4:36" x14ac:dyDescent="0.2">
      <c r="D61" s="8" t="s">
        <v>19</v>
      </c>
      <c r="E61" s="13" t="str">
        <f>+IF(DatiExtra[[#This Row],[Cod Fattore]]="","",VLOOKUP(DatiExtra[[#This Row],[Cod Fattore]],ElencoKPI[],2,0))</f>
        <v>Numero nuovi cliente</v>
      </c>
      <c r="F61" s="28">
        <v>42.5</v>
      </c>
      <c r="G61" s="15">
        <v>45291</v>
      </c>
      <c r="H61" s="8"/>
      <c r="I61" s="13" t="str">
        <f>+IF(DatiExtra[[#This Row],[Budget]],"Budget","Consuntivo")</f>
        <v>Consuntivo</v>
      </c>
      <c r="J61" s="3">
        <f>+(COUNTIF($G$5:G61,DatiExtra[[#This Row],[Data]])=1)*1</f>
        <v>0</v>
      </c>
      <c r="K61" s="3">
        <f>+SUM($J$5:J61)*(DatiExtra[[#This Row],[ND]]=1)</f>
        <v>0</v>
      </c>
      <c r="L61" s="6" t="str">
        <f>+IF(DatiExtra[[#This Row],[NDPRG]]&gt;0,DatiExtra[[#This Row],[Data]],"")</f>
        <v/>
      </c>
      <c r="M61" s="6"/>
      <c r="AI61" s="4">
        <f>+IF(OR(AI60=0,AI60+1&gt;MAX(DatiExtra[NDPRG])),0,AI60+1)</f>
        <v>0</v>
      </c>
      <c r="AJ61" s="6" t="str">
        <f>+IF(AI61&gt;0,VLOOKUP(AI61,DatiExtra[[NDPRG]:[Ndata]],2,0),"")</f>
        <v/>
      </c>
    </row>
    <row r="62" spans="4:36" x14ac:dyDescent="0.2">
      <c r="AI62" s="4">
        <f>+IF(OR(AI61=0,AI61+1&gt;MAX(DatiExtra[NDPRG])),0,AI61+1)</f>
        <v>0</v>
      </c>
      <c r="AJ62" s="6" t="str">
        <f>+IF(AI62&gt;0,VLOOKUP(AI62,DatiExtra[[NDPRG]:[Ndata]],2,0),"")</f>
        <v/>
      </c>
    </row>
    <row r="63" spans="4:36" x14ac:dyDescent="0.2">
      <c r="AI63" s="4">
        <f>+IF(OR(AI62=0,AI62+1&gt;MAX(DatiExtra[NDPRG])),0,AI62+1)</f>
        <v>0</v>
      </c>
      <c r="AJ63" s="6" t="str">
        <f>+IF(AI63&gt;0,VLOOKUP(AI63,DatiExtra[[NDPRG]:[Ndata]],2,0),"")</f>
        <v/>
      </c>
    </row>
    <row r="64" spans="4:36" x14ac:dyDescent="0.2">
      <c r="AI64" s="4">
        <f>+IF(OR(AI63=0,AI63+1&gt;MAX(DatiExtra[NDPRG])),0,AI63+1)</f>
        <v>0</v>
      </c>
      <c r="AJ64" s="6" t="str">
        <f>+IF(AI64&gt;0,VLOOKUP(AI64,DatiExtra[[NDPRG]:[Ndata]],2,0),"")</f>
        <v/>
      </c>
    </row>
    <row r="65" spans="35:36" x14ac:dyDescent="0.2">
      <c r="AI65" s="4">
        <f>+IF(OR(AI64=0,AI64+1&gt;MAX(DatiExtra[NDPRG])),0,AI64+1)</f>
        <v>0</v>
      </c>
      <c r="AJ65" s="6" t="str">
        <f>+IF(AI65&gt;0,VLOOKUP(AI65,DatiExtra[[NDPRG]:[Ndata]],2,0),"")</f>
        <v/>
      </c>
    </row>
    <row r="66" spans="35:36" x14ac:dyDescent="0.2">
      <c r="AI66" s="4">
        <f>+IF(OR(AI65=0,AI65+1&gt;MAX(DatiExtra[NDPRG])),0,AI65+1)</f>
        <v>0</v>
      </c>
      <c r="AJ66" s="6" t="str">
        <f>+IF(AI66&gt;0,VLOOKUP(AI66,DatiExtra[[NDPRG]:[Ndata]],2,0),"")</f>
        <v/>
      </c>
    </row>
    <row r="67" spans="35:36" x14ac:dyDescent="0.2">
      <c r="AI67" s="4">
        <f>+IF(OR(AI66=0,AI66+1&gt;MAX(DatiExtra[NDPRG])),0,AI66+1)</f>
        <v>0</v>
      </c>
      <c r="AJ67" s="6" t="str">
        <f>+IF(AI67&gt;0,VLOOKUP(AI67,DatiExtra[[NDPRG]:[Ndata]],2,0),"")</f>
        <v/>
      </c>
    </row>
    <row r="68" spans="35:36" x14ac:dyDescent="0.2">
      <c r="AI68" s="4">
        <f>+IF(OR(AI67=0,AI67+1&gt;MAX(DatiExtra[NDPRG])),0,AI67+1)</f>
        <v>0</v>
      </c>
      <c r="AJ68" s="6" t="str">
        <f>+IF(AI68&gt;0,VLOOKUP(AI68,DatiExtra[[NDPRG]:[Ndata]],2,0),"")</f>
        <v/>
      </c>
    </row>
    <row r="69" spans="35:36" x14ac:dyDescent="0.2">
      <c r="AI69" s="4">
        <f>+IF(OR(AI68=0,AI68+1&gt;MAX(DatiExtra[NDPRG])),0,AI68+1)</f>
        <v>0</v>
      </c>
      <c r="AJ69" s="6" t="str">
        <f>+IF(AI69&gt;0,VLOOKUP(AI69,DatiExtra[[NDPRG]:[Ndata]],2,0),"")</f>
        <v/>
      </c>
    </row>
    <row r="70" spans="35:36" x14ac:dyDescent="0.2">
      <c r="AI70" s="4">
        <f>+IF(OR(AI69=0,AI69+1&gt;MAX(DatiExtra[NDPRG])),0,AI69+1)</f>
        <v>0</v>
      </c>
      <c r="AJ70" s="6" t="str">
        <f>+IF(AI70&gt;0,VLOOKUP(AI70,DatiExtra[[NDPRG]:[Ndata]],2,0),"")</f>
        <v/>
      </c>
    </row>
  </sheetData>
  <mergeCells count="5">
    <mergeCell ref="U4:W4"/>
    <mergeCell ref="X4:Z4"/>
    <mergeCell ref="AA4:AC4"/>
    <mergeCell ref="AD4:AF4"/>
    <mergeCell ref="A2:H3"/>
  </mergeCells>
  <conditionalFormatting sqref="E5 O6:AF6">
    <cfRule type="expression" dxfId="20" priority="87">
      <formula>col=6</formula>
    </cfRule>
    <cfRule type="expression" dxfId="19" priority="88">
      <formula>col=5</formula>
    </cfRule>
    <cfRule type="expression" dxfId="18" priority="89">
      <formula>col=4</formula>
    </cfRule>
    <cfRule type="expression" dxfId="17" priority="90">
      <formula>col=1</formula>
    </cfRule>
    <cfRule type="expression" dxfId="16" priority="91">
      <formula>col=2</formula>
    </cfRule>
    <cfRule type="expression" dxfId="15" priority="92">
      <formula>col=3</formula>
    </cfRule>
  </conditionalFormatting>
  <conditionalFormatting sqref="O5:T5">
    <cfRule type="expression" dxfId="14" priority="44">
      <formula>col=6</formula>
    </cfRule>
    <cfRule type="expression" dxfId="13" priority="45">
      <formula>col=5</formula>
    </cfRule>
    <cfRule type="expression" dxfId="12" priority="46">
      <formula>col=4</formula>
    </cfRule>
    <cfRule type="expression" dxfId="11" priority="47">
      <formula>col=1</formula>
    </cfRule>
    <cfRule type="expression" dxfId="10" priority="48">
      <formula>col=2</formula>
    </cfRule>
    <cfRule type="expression" dxfId="9" priority="49">
      <formula>col=3</formula>
    </cfRule>
  </conditionalFormatting>
  <conditionalFormatting sqref="V5:AF5">
    <cfRule type="expression" dxfId="8" priority="55">
      <formula>col=6</formula>
    </cfRule>
    <cfRule type="expression" dxfId="7" priority="56">
      <formula>col=5</formula>
    </cfRule>
    <cfRule type="expression" dxfId="6" priority="57">
      <formula>col=4</formula>
    </cfRule>
    <cfRule type="expression" dxfId="5" priority="58">
      <formula>col=1</formula>
    </cfRule>
    <cfRule type="expression" dxfId="4" priority="59">
      <formula>col=2</formula>
    </cfRule>
    <cfRule type="expression" dxfId="3" priority="60">
      <formula>col=3</formula>
    </cfRule>
  </conditionalFormatting>
  <conditionalFormatting sqref="X7:X56">
    <cfRule type="expression" dxfId="2" priority="9">
      <formula>OR(AND($T7="Aumenta",X7&gt;U7),AND($T7&lt;&gt;"Aumenta",X7&lt;U7))</formula>
    </cfRule>
  </conditionalFormatting>
  <conditionalFormatting sqref="AA7:AA56">
    <cfRule type="expression" dxfId="1" priority="2">
      <formula>OR(AND($T7="Aumenta",AA7&gt;X7),AND($T7&lt;&gt;"Aumenta",AA7&lt;X7))</formula>
    </cfRule>
  </conditionalFormatting>
  <conditionalFormatting sqref="AD7:AD56">
    <cfRule type="expression" dxfId="0" priority="1">
      <formula>OR(AND($T7="Aumenta",AD7&gt;AA7),AND($T7&lt;&gt;"Aumenta",AD7&lt;AA7))</formula>
    </cfRule>
  </conditionalFormatting>
  <dataValidations count="5">
    <dataValidation type="list" allowBlank="1" showInputMessage="1" showErrorMessage="1" sqref="T7:T56" xr:uid="{E7DDACD9-D3AD-42E2-AC87-19D3CF1F6589}">
      <formula1>"Aumenta,Diminuisce"</formula1>
    </dataValidation>
    <dataValidation type="list" allowBlank="1" showInputMessage="1" showErrorMessage="1" sqref="H6:H61" xr:uid="{0A2F6D3F-7B15-47B6-BBA5-31B3BAC27D2C}">
      <formula1>"VERO,FALSO"</formula1>
    </dataValidation>
    <dataValidation type="list" allowBlank="1" showInputMessage="1" showErrorMessage="1" sqref="D6:D61 R7:R39 P7:P39" xr:uid="{D77428BF-13A4-43FB-B774-E4F79F7A6FB1}">
      <formula1>KPI</formula1>
    </dataValidation>
    <dataValidation type="list" allowBlank="1" showInputMessage="1" showErrorMessage="1" sqref="Q7:Q39" xr:uid="{BDED2735-6D7A-491B-9113-EBA0502C3E8D}">
      <formula1>"+,-,x,:"</formula1>
    </dataValidation>
    <dataValidation type="list" allowBlank="1" showInputMessage="1" showErrorMessage="1" sqref="U4:AF4" xr:uid="{59EEAC8E-0F2E-43BB-AEE1-50A5EDE6B421}">
      <formula1>DateKpi</formula1>
    </dataValidation>
  </dataValidations>
  <pageMargins left="0.15748031496062992" right="0.15748031496062992" top="0.39370078740157483" bottom="0.41" header="0.15748031496062992" footer="0.17"/>
  <pageSetup paperSize="9" scale="64" fitToHeight="0" orientation="landscape" verticalDpi="0" r:id="rId1"/>
  <drawing r:id="rId2"/>
  <tableParts count="3"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3" id="{BDCFE617-4E4F-4E74-9CBF-5598E83BB511}">
            <x14:iconSet iconSet="3Symbols2" custom="1">
              <x14:cfvo type="percent">
                <xm:f>0</xm:f>
              </x14:cfvo>
              <x14:cfvo type="num" gte="0">
                <xm:f>-1000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2"/>
            </x14:iconSet>
          </x14:cfRule>
          <xm:sqref>W7:W56</xm:sqref>
        </x14:conditionalFormatting>
        <x14:conditionalFormatting xmlns:xm="http://schemas.microsoft.com/office/excel/2006/main">
          <x14:cfRule type="iconSet" priority="94" id="{28C9DED5-2E20-4DDF-BEA8-2B1B2CF01DAF}">
            <x14:iconSet iconSet="3Symbols2" custom="1">
              <x14:cfvo type="percent">
                <xm:f>0</xm:f>
              </x14:cfvo>
              <x14:cfvo type="num" gte="0">
                <xm:f>-1000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2"/>
            </x14:iconSet>
          </x14:cfRule>
          <xm:sqref>Z7:Z56</xm:sqref>
        </x14:conditionalFormatting>
        <x14:conditionalFormatting xmlns:xm="http://schemas.microsoft.com/office/excel/2006/main">
          <x14:cfRule type="iconSet" priority="95" id="{45850CC8-3DDA-4C46-AC11-3C4BC99E59ED}">
            <x14:iconSet iconSet="3Symbols2" custom="1">
              <x14:cfvo type="percent">
                <xm:f>0</xm:f>
              </x14:cfvo>
              <x14:cfvo type="num" gte="0">
                <xm:f>-1000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2"/>
            </x14:iconSet>
          </x14:cfRule>
          <xm:sqref>AC7:AC56</xm:sqref>
        </x14:conditionalFormatting>
        <x14:conditionalFormatting xmlns:xm="http://schemas.microsoft.com/office/excel/2006/main">
          <x14:cfRule type="iconSet" priority="96" id="{FBD35C5C-B63F-4E0E-830B-1C1FB6EEA237}">
            <x14:iconSet iconSet="3Symbols2" custom="1">
              <x14:cfvo type="percent">
                <xm:f>0</xm:f>
              </x14:cfvo>
              <x14:cfvo type="num" gte="0">
                <xm:f>-1000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2"/>
            </x14:iconSet>
          </x14:cfRule>
          <xm:sqref>AF7:AF56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60FC-7186-4C28-987B-4DADF3B42D3B}">
  <sheetPr codeName="Foglio2"/>
  <dimension ref="A1:AC45"/>
  <sheetViews>
    <sheetView showGridLines="0" zoomScale="85" zoomScaleNormal="85" workbookViewId="0">
      <selection activeCell="A9" sqref="A9"/>
    </sheetView>
  </sheetViews>
  <sheetFormatPr defaultColWidth="8.7109375" defaultRowHeight="14.25" x14ac:dyDescent="0.2"/>
  <cols>
    <col min="1" max="1" width="32.5703125" style="3" bestFit="1" customWidth="1"/>
    <col min="2" max="2" width="17.7109375" style="3" bestFit="1" customWidth="1"/>
    <col min="3" max="3" width="13" style="3" bestFit="1" customWidth="1"/>
    <col min="4" max="4" width="2.28515625" style="3" hidden="1" customWidth="1"/>
    <col min="5" max="5" width="3.85546875" style="3" hidden="1" customWidth="1"/>
    <col min="6" max="6" width="11.85546875" style="3" bestFit="1" customWidth="1"/>
    <col min="7" max="7" width="7.85546875" style="3" bestFit="1" customWidth="1"/>
    <col min="8" max="8" width="10.7109375" style="3" bestFit="1" customWidth="1"/>
    <col min="9" max="10" width="8.7109375" style="3"/>
    <col min="11" max="11" width="17.7109375" style="3" bestFit="1" customWidth="1"/>
    <col min="12" max="12" width="13" style="3" bestFit="1" customWidth="1"/>
    <col min="13" max="14" width="11.7109375" style="3" bestFit="1" customWidth="1"/>
    <col min="15" max="15" width="10.7109375" style="3" bestFit="1" customWidth="1"/>
    <col min="16" max="18" width="10.7109375" style="3" customWidth="1"/>
    <col min="19" max="19" width="18.28515625" style="3" bestFit="1" customWidth="1"/>
    <col min="20" max="20" width="10.7109375" style="3" customWidth="1"/>
    <col min="21" max="21" width="8.7109375" style="3"/>
    <col min="22" max="22" width="17.7109375" style="3" hidden="1" customWidth="1"/>
    <col min="23" max="23" width="13" style="3" hidden="1" customWidth="1"/>
    <col min="24" max="24" width="11.7109375" style="3" hidden="1" customWidth="1"/>
    <col min="25" max="26" width="0" style="3" hidden="1" customWidth="1"/>
    <col min="27" max="27" width="17.7109375" style="3" hidden="1" customWidth="1"/>
    <col min="28" max="28" width="7.85546875" style="3" hidden="1" customWidth="1"/>
    <col min="29" max="29" width="11.7109375" style="3" hidden="1" customWidth="1"/>
    <col min="30" max="30" width="11.7109375" style="3" bestFit="1" customWidth="1"/>
    <col min="31" max="31" width="10.7109375" style="3" bestFit="1" customWidth="1"/>
    <col min="32" max="16384" width="8.7109375" style="3"/>
  </cols>
  <sheetData>
    <row r="1" spans="1:21" ht="62.2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21" ht="40.5" customHeight="1" x14ac:dyDescent="0.2">
      <c r="A2" s="52" t="s">
        <v>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1" x14ac:dyDescent="0.2">
      <c r="A3" s="10" t="s">
        <v>46</v>
      </c>
    </row>
    <row r="4" spans="1:21" x14ac:dyDescent="0.2">
      <c r="A4" s="36" t="s">
        <v>47</v>
      </c>
    </row>
    <row r="9" spans="1:21" x14ac:dyDescent="0.2">
      <c r="U9" s="10"/>
    </row>
    <row r="10" spans="1:21" x14ac:dyDescent="0.2">
      <c r="U10" s="50"/>
    </row>
    <row r="11" spans="1:21" x14ac:dyDescent="0.2">
      <c r="U11" s="51"/>
    </row>
    <row r="26" spans="1:29" x14ac:dyDescent="0.2">
      <c r="B26" s="37" t="s">
        <v>44</v>
      </c>
      <c r="C26" s="3" t="s">
        <v>8</v>
      </c>
      <c r="V26" s="37" t="s">
        <v>44</v>
      </c>
      <c r="W26" s="3" t="s">
        <v>8</v>
      </c>
    </row>
    <row r="28" spans="1:29" x14ac:dyDescent="0.2">
      <c r="A28" s="10" t="s">
        <v>46</v>
      </c>
      <c r="B28" s="19"/>
      <c r="C28" s="38" t="s">
        <v>40</v>
      </c>
      <c r="D28" s="19"/>
      <c r="E28" s="19"/>
      <c r="F28" s="19"/>
      <c r="G28" s="19"/>
      <c r="H28" s="19"/>
      <c r="V28" s="38" t="s">
        <v>45</v>
      </c>
      <c r="W28" s="38" t="s">
        <v>40</v>
      </c>
      <c r="X28" s="19"/>
      <c r="AA28" s="38" t="s">
        <v>43</v>
      </c>
      <c r="AB28" s="38" t="s">
        <v>40</v>
      </c>
      <c r="AC28" s="19"/>
    </row>
    <row r="29" spans="1:29" x14ac:dyDescent="0.2">
      <c r="A29" s="36" t="s">
        <v>48</v>
      </c>
      <c r="B29" s="19"/>
      <c r="C29" s="57" t="s">
        <v>3</v>
      </c>
      <c r="D29" s="58"/>
      <c r="E29" s="58"/>
      <c r="F29" s="57" t="s">
        <v>23</v>
      </c>
      <c r="G29" s="58"/>
      <c r="H29" s="58"/>
      <c r="V29" s="38" t="s">
        <v>2</v>
      </c>
      <c r="W29" s="39" t="s">
        <v>3</v>
      </c>
      <c r="X29" s="39" t="s">
        <v>23</v>
      </c>
      <c r="AA29" s="38" t="s">
        <v>2</v>
      </c>
      <c r="AB29" s="39" t="s">
        <v>3</v>
      </c>
      <c r="AC29" s="39" t="s">
        <v>23</v>
      </c>
    </row>
    <row r="30" spans="1:29" ht="28.5" x14ac:dyDescent="0.2">
      <c r="B30" s="38" t="s">
        <v>2</v>
      </c>
      <c r="C30" s="39" t="s">
        <v>45</v>
      </c>
      <c r="D30" s="40" t="s">
        <v>42</v>
      </c>
      <c r="E30" s="41" t="s">
        <v>43</v>
      </c>
      <c r="F30" s="39" t="s">
        <v>45</v>
      </c>
      <c r="G30" s="42" t="s">
        <v>42</v>
      </c>
      <c r="H30" s="41" t="s">
        <v>43</v>
      </c>
      <c r="V30" s="43">
        <v>45016</v>
      </c>
      <c r="W30" s="3">
        <v>100</v>
      </c>
      <c r="X30" s="3">
        <v>104</v>
      </c>
      <c r="AA30" s="44" t="s">
        <v>8</v>
      </c>
      <c r="AB30" s="45"/>
      <c r="AC30" s="45">
        <v>-0.15612244897959185</v>
      </c>
    </row>
    <row r="31" spans="1:29" x14ac:dyDescent="0.2">
      <c r="B31" s="43">
        <v>45016</v>
      </c>
      <c r="C31" s="46">
        <v>100</v>
      </c>
      <c r="D31" s="47"/>
      <c r="E31" s="48"/>
      <c r="F31" s="46">
        <v>104</v>
      </c>
      <c r="G31" s="47">
        <v>4</v>
      </c>
      <c r="H31" s="45">
        <v>0.04</v>
      </c>
      <c r="V31" s="43">
        <v>45107</v>
      </c>
      <c r="W31" s="3">
        <v>120</v>
      </c>
      <c r="X31" s="3">
        <v>97.9</v>
      </c>
      <c r="AA31" s="49">
        <v>45016</v>
      </c>
      <c r="AB31" s="45"/>
      <c r="AC31" s="45">
        <v>0.04</v>
      </c>
    </row>
    <row r="32" spans="1:29" x14ac:dyDescent="0.2">
      <c r="B32" s="43">
        <v>45107</v>
      </c>
      <c r="C32" s="46">
        <v>120</v>
      </c>
      <c r="D32" s="47"/>
      <c r="E32" s="48"/>
      <c r="F32" s="46">
        <v>97.9</v>
      </c>
      <c r="G32" s="47">
        <v>-22.099999999999994</v>
      </c>
      <c r="H32" s="45">
        <v>-0.18416666666666662</v>
      </c>
      <c r="V32" s="43">
        <v>45199</v>
      </c>
      <c r="W32" s="3">
        <v>130</v>
      </c>
      <c r="X32" s="3">
        <v>117.3</v>
      </c>
      <c r="AA32" s="49">
        <v>45107</v>
      </c>
      <c r="AB32" s="45"/>
      <c r="AC32" s="45">
        <v>-0.18416666666666662</v>
      </c>
    </row>
    <row r="33" spans="2:29" x14ac:dyDescent="0.2">
      <c r="B33" s="43">
        <v>45199</v>
      </c>
      <c r="C33" s="46">
        <v>130</v>
      </c>
      <c r="D33" s="47"/>
      <c r="E33" s="48"/>
      <c r="F33" s="46">
        <v>117.3</v>
      </c>
      <c r="G33" s="47">
        <v>-12.700000000000003</v>
      </c>
      <c r="H33" s="45">
        <v>-9.7692307692307717E-2</v>
      </c>
      <c r="V33" s="43">
        <v>45291</v>
      </c>
      <c r="W33" s="3">
        <v>140</v>
      </c>
      <c r="X33" s="3">
        <v>94.3</v>
      </c>
      <c r="AA33" s="49">
        <v>45199</v>
      </c>
      <c r="AB33" s="45"/>
      <c r="AC33" s="45">
        <v>-9.7692307692307717E-2</v>
      </c>
    </row>
    <row r="34" spans="2:29" x14ac:dyDescent="0.2">
      <c r="B34" s="43">
        <v>45291</v>
      </c>
      <c r="C34" s="46">
        <v>140</v>
      </c>
      <c r="D34" s="47"/>
      <c r="E34" s="48"/>
      <c r="F34" s="46">
        <v>94.3</v>
      </c>
      <c r="G34" s="47">
        <v>-45.7</v>
      </c>
      <c r="H34" s="45">
        <v>-0.32642857142857146</v>
      </c>
      <c r="V34" s="44" t="s">
        <v>41</v>
      </c>
      <c r="W34" s="3">
        <v>122.5</v>
      </c>
      <c r="X34" s="3">
        <v>103.375</v>
      </c>
      <c r="AA34" s="49">
        <v>45291</v>
      </c>
      <c r="AB34" s="45"/>
      <c r="AC34" s="45">
        <v>-0.32642857142857146</v>
      </c>
    </row>
    <row r="35" spans="2:29" x14ac:dyDescent="0.2">
      <c r="B35" s="44" t="s">
        <v>41</v>
      </c>
      <c r="C35" s="3">
        <v>122.5</v>
      </c>
      <c r="D35" s="47"/>
      <c r="E35" s="45"/>
      <c r="F35" s="3">
        <v>103.375</v>
      </c>
      <c r="G35" s="47">
        <v>-19.125</v>
      </c>
      <c r="H35" s="45">
        <v>-0.15612244897959185</v>
      </c>
      <c r="AA35" s="44" t="s">
        <v>9</v>
      </c>
      <c r="AB35" s="45"/>
      <c r="AC35" s="45">
        <v>-1.5238095238095238E-2</v>
      </c>
    </row>
    <row r="36" spans="2:29" x14ac:dyDescent="0.2">
      <c r="AA36" s="49">
        <v>45016</v>
      </c>
      <c r="AB36" s="45"/>
      <c r="AC36" s="45">
        <v>-0.12</v>
      </c>
    </row>
    <row r="37" spans="2:29" x14ac:dyDescent="0.2">
      <c r="AA37" s="49">
        <v>45107</v>
      </c>
      <c r="AB37" s="45"/>
      <c r="AC37" s="45">
        <v>-0.02</v>
      </c>
    </row>
    <row r="38" spans="2:29" x14ac:dyDescent="0.2">
      <c r="AA38" s="49">
        <v>45199</v>
      </c>
      <c r="AB38" s="45"/>
      <c r="AC38" s="45">
        <v>0.04</v>
      </c>
    </row>
    <row r="39" spans="2:29" x14ac:dyDescent="0.2">
      <c r="AA39" s="49">
        <v>45291</v>
      </c>
      <c r="AB39" s="45"/>
      <c r="AC39" s="45">
        <v>0.04</v>
      </c>
    </row>
    <row r="40" spans="2:29" x14ac:dyDescent="0.2">
      <c r="AA40" s="44" t="s">
        <v>32</v>
      </c>
      <c r="AB40" s="45"/>
      <c r="AC40" s="45">
        <v>0.16689402750914184</v>
      </c>
    </row>
    <row r="41" spans="2:29" x14ac:dyDescent="0.2">
      <c r="AA41" s="49">
        <v>45016</v>
      </c>
      <c r="AB41" s="45"/>
      <c r="AC41" s="45">
        <v>-0.1538461538461538</v>
      </c>
    </row>
    <row r="42" spans="2:29" x14ac:dyDescent="0.2">
      <c r="AA42" s="49">
        <v>45107</v>
      </c>
      <c r="AB42" s="45"/>
      <c r="AC42" s="45">
        <v>0.20122574055158315</v>
      </c>
    </row>
    <row r="43" spans="2:29" x14ac:dyDescent="0.2">
      <c r="AA43" s="49">
        <v>45199</v>
      </c>
      <c r="AB43" s="45"/>
      <c r="AC43" s="45">
        <v>0.15260017050298386</v>
      </c>
    </row>
    <row r="44" spans="2:29" x14ac:dyDescent="0.2">
      <c r="AA44" s="49">
        <v>45291</v>
      </c>
      <c r="AB44" s="45"/>
      <c r="AC44" s="45">
        <v>0.54400848356309661</v>
      </c>
    </row>
    <row r="45" spans="2:29" x14ac:dyDescent="0.2">
      <c r="AA45" s="44" t="s">
        <v>41</v>
      </c>
      <c r="AB45" s="45"/>
      <c r="AC45" s="45">
        <v>-1.3906800981863039E-2</v>
      </c>
    </row>
  </sheetData>
  <mergeCells count="2">
    <mergeCell ref="C29:E29"/>
    <mergeCell ref="F29:H29"/>
  </mergeCells>
  <pageMargins left="0.7" right="0.7" top="0.75" bottom="0.75" header="0.3" footer="0.3"/>
  <pageSetup paperSize="9" orientation="portrait" horizontalDpi="200" verticalDpi="200" r:id="rId4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014026-a0ef-45dc-9ca9-ac355db24e99" xsi:nil="true"/>
    <lcf76f155ced4ddcb4097134ff3c332f xmlns="77a3f60d-3740-4b8f-aea2-18b203205ead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B2E99503D3AD4DA2231F0D240043DD" ma:contentTypeVersion="18" ma:contentTypeDescription="Creare un nuovo documento." ma:contentTypeScope="" ma:versionID="57b8045e8abefa85dedc7991371a38b2">
  <xsd:schema xmlns:xsd="http://www.w3.org/2001/XMLSchema" xmlns:xs="http://www.w3.org/2001/XMLSchema" xmlns:p="http://schemas.microsoft.com/office/2006/metadata/properties" xmlns:ns2="77a3f60d-3740-4b8f-aea2-18b203205ead" xmlns:ns3="6c014026-a0ef-45dc-9ca9-ac355db24e99" targetNamespace="http://schemas.microsoft.com/office/2006/metadata/properties" ma:root="true" ma:fieldsID="f5ecd2ee382a35af39c71524ba84a011" ns2:_="" ns3:_="">
    <xsd:import namespace="77a3f60d-3740-4b8f-aea2-18b203205ead"/>
    <xsd:import namespace="6c014026-a0ef-45dc-9ca9-ac355db24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a3f60d-3740-4b8f-aea2-18b203205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bbff36a2-fd21-4e1e-a182-03a870c089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14026-a0ef-45dc-9ca9-ac355db24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c17ed12-4c7d-4ce0-86b8-91d9357e9166}" ma:internalName="TaxCatchAll" ma:showField="CatchAllData" ma:web="6c014026-a0ef-45dc-9ca9-ac355db24e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016F8F-04A3-49FC-8986-5CAA830FADB9}">
  <ds:schemaRefs>
    <ds:schemaRef ds:uri="http://schemas.microsoft.com/office/2006/metadata/properties"/>
    <ds:schemaRef ds:uri="http://schemas.microsoft.com/office/infopath/2007/PartnerControls"/>
    <ds:schemaRef ds:uri="6c014026-a0ef-45dc-9ca9-ac355db24e99"/>
    <ds:schemaRef ds:uri="77a3f60d-3740-4b8f-aea2-18b203205ead"/>
  </ds:schemaRefs>
</ds:datastoreItem>
</file>

<file path=customXml/itemProps2.xml><?xml version="1.0" encoding="utf-8"?>
<ds:datastoreItem xmlns:ds="http://schemas.openxmlformats.org/officeDocument/2006/customXml" ds:itemID="{BE303D92-4707-45C5-A8D2-8F19CFC6061F}">
  <ds:schemaRefs>
    <ds:schemaRef ds:uri="http://schemas.microsoft.com/PowerBIAddIn"/>
  </ds:schemaRefs>
</ds:datastoreItem>
</file>

<file path=customXml/itemProps3.xml><?xml version="1.0" encoding="utf-8"?>
<ds:datastoreItem xmlns:ds="http://schemas.openxmlformats.org/officeDocument/2006/customXml" ds:itemID="{EAB6A757-E38C-4FF6-8E78-E1E00CCDBF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a3f60d-3740-4b8f-aea2-18b203205ead"/>
    <ds:schemaRef ds:uri="6c014026-a0ef-45dc-9ca9-ac355db24e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5EBDDF4-D39E-4299-B918-943444392F1A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C27A03C0-03B0-47A0-A30C-90640F4893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4</vt:i4>
      </vt:variant>
    </vt:vector>
  </HeadingPairs>
  <TitlesOfParts>
    <vt:vector size="6" baseType="lpstr">
      <vt:lpstr>KPI</vt:lpstr>
      <vt:lpstr>GraficiPerKPI</vt:lpstr>
      <vt:lpstr>KPI!Area_stampa</vt:lpstr>
      <vt:lpstr>Consuntivi</vt:lpstr>
      <vt:lpstr>DateKpi</vt:lpstr>
      <vt:lpstr>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Mattavelli</dc:creator>
  <cp:lastModifiedBy>SUPPORTO OVERVIEW</cp:lastModifiedBy>
  <cp:lastPrinted>2021-05-28T08:46:09Z</cp:lastPrinted>
  <dcterms:created xsi:type="dcterms:W3CDTF">2021-05-27T07:15:50Z</dcterms:created>
  <dcterms:modified xsi:type="dcterms:W3CDTF">2025-07-03T10:15:37Z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0x01010049B2E99503D3AD4DA2231F0D240043DD</vt:lpwstr>
  </property>
  <property fmtid="{D5CDD505-2E9C-101B-9397-08002B2CF9AE}" pid="3" name="MediaServiceImageTags">
    <vt:lpwstr/>
  </property>
</Properties>
</file>