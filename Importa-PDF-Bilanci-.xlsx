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BPH_USER\Desktop\"/>
    </mc:Choice>
  </mc:AlternateContent>
  <xr:revisionPtr revIDLastSave="0" documentId="8_{39A98AF5-0D5F-48E9-879D-E0E664B0BD40}" xr6:coauthVersionLast="47" xr6:coauthVersionMax="47" xr10:uidLastSave="{00000000-0000-0000-0000-000000000000}"/>
  <workbookProtection workbookAlgorithmName="SHA-512" workbookHashValue="Zv8wklHBXo5kQYynSFIYjEqKzDPImvgOrmP9u4DwcuvFTe8uoALSyYvouYsjmuOdPHRah/Sb4N87BDq91ylGKQ==" workbookSaltValue="9d0Z0LRzzsGUV1Lw8r5sXQ==" workbookSpinCount="100000" lockStructure="1"/>
  <bookViews>
    <workbookView xWindow="-120" yWindow="-120" windowWidth="29040" windowHeight="15720" xr2:uid="{5A86055B-1F8C-4ACE-81C0-646FA0347FF9}"/>
  </bookViews>
  <sheets>
    <sheet name="Home" sheetId="1" r:id="rId1"/>
    <sheet name="Percorso" sheetId="6" state="veryHidden" r:id="rId2"/>
    <sheet name="Bilanci" sheetId="4" r:id="rId3"/>
  </sheets>
  <definedNames>
    <definedName name="DatiEsterni_2" localSheetId="0" hidden="1">Home!$A$11:$D$12</definedName>
    <definedName name="DatiEsterni_3" localSheetId="2" hidden="1">Bilanci!$A$4:$E$48</definedName>
    <definedName name="P_Origine">Home!$A$3</definedName>
    <definedName name="Percorso">Percorso!$A$5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2" i="1" l="1"/>
  <c r="G3" i="1"/>
  <c r="A5" i="6"/>
  <c r="B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D8D670-F124-46E2-9138-1EF0770E5B2E}" keepAlive="1" name="Query - BilanciCartella" description="Connessione alla query 'BilanciCartella' nella cartella di lavoro." type="5" refreshedVersion="8" background="1" saveData="1">
    <dbPr connection="Provider=Microsoft.Mashup.OleDb.1;Data Source=$Workbook$;Location=BilanciCartella;Extended Properties=&quot;&quot;" command="SELECT * FROM [BilanciCartella]"/>
  </connection>
  <connection id="2" xr16:uid="{C1327DB4-306F-44FD-BE41-39931B1FBB73}" keepAlive="1" name="Query - ElencoBilanci" description="Connessione alla query 'ElencoBilanci' nella cartella di lavoro." type="5" refreshedVersion="8" background="1" saveData="1">
    <dbPr connection="Provider=Microsoft.Mashup.OleDb.1;Data Source=$Workbook$;Location=ElencoBilanci;Extended Properties=&quot;&quot;" command="SELECT * FROM [ElencoBilanci]"/>
  </connection>
  <connection id="3" xr16:uid="{E8C974A0-6662-4582-8EE9-2EBEC9BB73F2}" keepAlive="1" name="Query - File di esempio" description="Connessione alla query 'File di esempio' nella cartella di lavoro." type="5" refreshedVersion="0" background="1">
    <dbPr connection="Provider=Microsoft.Mashup.OleDb.1;Data Source=$Workbook$;Location=&quot;File di esempio&quot;;Extended Properties=&quot;&quot;" command="SELECT * FROM [File di esempio]"/>
  </connection>
  <connection id="4" xr16:uid="{734EADC5-3286-427C-8CA7-5BB02A5F7C19}" keepAlive="1" name="Query - Or" description="Connessione alla query 'Or' nella cartella di lavoro." type="5" refreshedVersion="0" background="1">
    <dbPr connection="Provider=Microsoft.Mashup.OleDb.1;Data Source=$Workbook$;Location=Or;Extended Properties=&quot;&quot;" command="SELECT * FROM [Or]"/>
  </connection>
  <connection id="5" xr16:uid="{99FFDD31-3189-4E86-8A76-49A28B8A181A}" keepAlive="1" name="Query - Parametro1" description="Connessione alla query 'Parametro1' nella cartella di lavoro." type="5" refreshedVersion="0" background="1">
    <dbPr connection="Provider=Microsoft.Mashup.OleDb.1;Data Source=$Workbook$;Location=Parametro1;Extended Properties=&quot;&quot;" command="SELECT * FROM [Parametro1]"/>
  </connection>
  <connection id="6" xr16:uid="{8C2D2B58-2BE1-4F5D-A969-E37824B7CBE4}" keepAlive="1" name="Query - Trasforma file" description="Connessione alla query 'Trasforma file' nella cartella di lavoro." type="5" refreshedVersion="0" background="1">
    <dbPr connection="Provider=Microsoft.Mashup.OleDb.1;Data Source=$Workbook$;Location=&quot;Trasforma file&quot;;Extended Properties=&quot;&quot;" command="SELECT * FROM [Trasforma file]"/>
  </connection>
  <connection id="7" xr16:uid="{55B3E888-9515-4017-BA96-5D6803848D47}" keepAlive="1" name="Query - Trasforma file di esempio" description="Connessione alla query 'Trasforma file di esempio' nella cartella di lavoro." type="5" refreshedVersion="0" background="1">
    <dbPr connection="Provider=Microsoft.Mashup.OleDb.1;Data Source=$Workbook$;Location=&quot;Trasforma file di esempio&quot;;Extended Properties=&quot;&quot;" command="SELECT * FROM [Trasforma file di esempio]"/>
  </connection>
</connections>
</file>

<file path=xl/sharedStrings.xml><?xml version="1.0" encoding="utf-8"?>
<sst xmlns="http://schemas.openxmlformats.org/spreadsheetml/2006/main" count="152" uniqueCount="60">
  <si>
    <t>Voce</t>
  </si>
  <si>
    <t>Attivo</t>
  </si>
  <si>
    <t>Passivo</t>
  </si>
  <si>
    <t>altri</t>
  </si>
  <si>
    <t>Name</t>
  </si>
  <si>
    <t>Extension</t>
  </si>
  <si>
    <t>Folder Path</t>
  </si>
  <si>
    <t>.pdf</t>
  </si>
  <si>
    <t>esigibili entro l'esercizio successivo</t>
  </si>
  <si>
    <t>Totale crediti</t>
  </si>
  <si>
    <t>C) Attivo circolante</t>
  </si>
  <si>
    <t>II - Crediti</t>
  </si>
  <si>
    <t>III - Attività finanziarie che non costituiscono immobilizzazioni</t>
  </si>
  <si>
    <t>Totale attivo circolante (C)</t>
  </si>
  <si>
    <t>Totale attivo</t>
  </si>
  <si>
    <t>A) Patrimonio netto</t>
  </si>
  <si>
    <t>I - Capitale</t>
  </si>
  <si>
    <t>IV - Riserva legale</t>
  </si>
  <si>
    <t>VIII - Utili (perdite) portati a nuovo</t>
  </si>
  <si>
    <t>IX - Utile (perdita) dell'esercizio</t>
  </si>
  <si>
    <t>Totale patrimonio netto</t>
  </si>
  <si>
    <t>B) Fondi per rischi e oneri</t>
  </si>
  <si>
    <t>D) Debiti</t>
  </si>
  <si>
    <t>Totale debiti</t>
  </si>
  <si>
    <t>Totale passivo</t>
  </si>
  <si>
    <t>Conto economico</t>
  </si>
  <si>
    <t>1) ricavi delle vendite e delle prestazioni</t>
  </si>
  <si>
    <t>5) altri ricavi e proventi</t>
  </si>
  <si>
    <t>Totale altri ricavi e proventi</t>
  </si>
  <si>
    <t>Totale valore della produzione</t>
  </si>
  <si>
    <t>7) per servizi</t>
  </si>
  <si>
    <t>14) oneri diversi di gestione</t>
  </si>
  <si>
    <t>Totale costi della produzione</t>
  </si>
  <si>
    <t>Differenza tra valore e costi della produzione (A - B)</t>
  </si>
  <si>
    <t>17) interessi e altri oneri finanziari</t>
  </si>
  <si>
    <t>Totale interessi e altri oneri finanziari</t>
  </si>
  <si>
    <t>Totale proventi e oneri finanziari (15 + 16 - 17 + - 17-bis)</t>
  </si>
  <si>
    <t>Indica il percorso della cartella in cui sono contenuti i file</t>
  </si>
  <si>
    <t>Data</t>
  </si>
  <si>
    <t>Pagina</t>
  </si>
  <si>
    <t>Valore</t>
  </si>
  <si>
    <t>A) Valore della produzione</t>
  </si>
  <si>
    <t>B) Costi della produzione</t>
  </si>
  <si>
    <t>C) Proventi e oneri finanziari</t>
  </si>
  <si>
    <t>Risultato prima delle imposte (A - B + - C + - D)</t>
  </si>
  <si>
    <t>21) Utile (perdita) dell'esercizio</t>
  </si>
  <si>
    <t>Page005</t>
  </si>
  <si>
    <t>Page006</t>
  </si>
  <si>
    <t>31-12-2020</t>
  </si>
  <si>
    <t>Azienda</t>
  </si>
  <si>
    <t>Stato patrimoniale</t>
  </si>
  <si>
    <t>C:\Bilanci\</t>
  </si>
  <si>
    <t>Alt + F5 per aggiornare</t>
  </si>
  <si>
    <t>Elenco Bilanci Caricati (Alt + F5 per aggiornare)</t>
  </si>
  <si>
    <t>Dove sono salvati i Bilanci ?</t>
  </si>
  <si>
    <t>Vai ai Bilanci Convertiti</t>
  </si>
  <si>
    <r>
      <t xml:space="preserve">Ricorda di nominare i bilanci con lo schema </t>
    </r>
    <r>
      <rPr>
        <b/>
        <i/>
        <sz val="11"/>
        <color theme="1"/>
        <rFont val="Georgia"/>
        <family val="1"/>
      </rPr>
      <t>"nomeazienda-gg.mm.aaaa"</t>
    </r>
  </si>
  <si>
    <t>Controllo regolarità nome del file</t>
  </si>
  <si>
    <t>Twitter - 31.12.20.pdf</t>
  </si>
  <si>
    <t xml:space="preserve">Twitter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</si>
</sst>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Georgia"/>
      <family val="1"/>
    </font>
    <font>
      <b/>
      <i/>
      <sz val="11"/>
      <color theme="1"/>
      <name val="Georgia"/>
      <family val="1"/>
    </font>
    <font>
      <b/>
      <sz val="11"/>
      <color theme="1"/>
      <name val="Georgia"/>
      <family val="1"/>
    </font>
    <font>
      <sz val="11"/>
      <color rgb="FFFF0000"/>
      <name val="Georgia"/>
      <family val="1"/>
    </font>
    <font>
      <b/>
      <u/>
      <sz val="11"/>
      <color theme="10"/>
      <name val="Georgia"/>
      <family val="1"/>
    </font>
    <font>
      <b/>
      <u/>
      <sz val="11"/>
      <color rgb="FF00919E"/>
      <name val="Georgia"/>
      <family val="1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n">
        <color theme="0" tint="-0.14996795556505021"/>
      </bottom>
      <diagonal/>
    </border>
    <border>
      <left/>
      <right/>
      <top style="thick">
        <color auto="1"/>
      </top>
      <bottom style="thin">
        <color theme="0" tint="-0.1499679555650502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43" fontId="0" fillId="0" borderId="0" xfId="1" applyFont="1"/>
    <xf numFmtId="0" fontId="6" fillId="0" borderId="0" xfId="0" applyFont="1"/>
    <xf numFmtId="0" fontId="7" fillId="0" borderId="0" xfId="0" applyFont="1"/>
    <xf numFmtId="14" fontId="6" fillId="0" borderId="0" xfId="0" applyNumberFormat="1" applyFont="1"/>
    <xf numFmtId="0" fontId="9" fillId="0" borderId="0" xfId="0" applyFont="1"/>
    <xf numFmtId="0" fontId="8" fillId="0" borderId="0" xfId="0" applyFont="1"/>
    <xf numFmtId="0" fontId="10" fillId="0" borderId="0" xfId="2" applyFont="1"/>
    <xf numFmtId="0" fontId="11" fillId="0" borderId="0" xfId="2" applyFont="1"/>
    <xf numFmtId="0" fontId="11" fillId="0" borderId="0" xfId="2" applyFont="1" applyAlignment="1">
      <alignment vertical="center"/>
    </xf>
    <xf numFmtId="0" fontId="12" fillId="0" borderId="0" xfId="0" applyFont="1"/>
    <xf numFmtId="0" fontId="6" fillId="2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</cellXfs>
  <cellStyles count="3">
    <cellStyle name="Collegamento ipertestuale" xfId="2" builtinId="8"/>
    <cellStyle name="Migliaia" xfId="1" builtinId="3"/>
    <cellStyle name="Normale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0" formatCode="General"/>
    </dxf>
    <dxf>
      <font>
        <i/>
      </font>
    </dxf>
    <dxf>
      <font>
        <i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orgia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orgia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orgia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orgia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orgia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</dxf>
    <dxf>
      <font>
        <b/>
        <i val="0"/>
        <color theme="0"/>
      </font>
      <fill>
        <patternFill>
          <bgColor rgb="FF00919E"/>
        </patternFill>
      </fill>
    </dxf>
    <dxf>
      <border>
        <left style="thin">
          <color rgb="FF00919E"/>
        </left>
        <right style="thin">
          <color rgb="FF00919E"/>
        </right>
        <top style="thin">
          <color rgb="FF00919E"/>
        </top>
        <bottom style="thin">
          <color rgb="FF00919E"/>
        </bottom>
        <vertical style="thin">
          <color rgb="FF00919E"/>
        </vertical>
        <horizontal style="thin">
          <color rgb="FF00919E"/>
        </horizontal>
      </border>
    </dxf>
  </dxfs>
  <tableStyles count="1" defaultTableStyle="TableStyleMedium2" defaultPivotStyle="PivotStyleLight16">
    <tableStyle name="BPHolding" pivot="0" count="2" xr9:uid="{59D93565-51DE-4772-A198-5269746A8F16}">
      <tableStyleElement type="wholeTable" dxfId="15"/>
      <tableStyleElement type="headerRow" dxfId="14"/>
    </tableStyle>
  </tableStyles>
  <colors>
    <mruColors>
      <color rgb="FF00919E"/>
      <color rgb="FF0022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Home!A1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5356712</xdr:colOff>
      <xdr:row>0</xdr:row>
      <xdr:rowOff>783981</xdr:rowOff>
    </xdr:to>
    <xdr:sp macro="" textlink="">
      <xdr:nvSpPr>
        <xdr:cNvPr id="2" name="Rettangolo con angoli arrotondati 1">
          <a:extLst>
            <a:ext uri="{FF2B5EF4-FFF2-40B4-BE49-F238E27FC236}">
              <a16:creationId xmlns:a16="http://schemas.microsoft.com/office/drawing/2014/main" id="{E01B92CD-286F-4BBF-B36B-CDECE259AB59}"/>
            </a:ext>
          </a:extLst>
        </xdr:cNvPr>
        <xdr:cNvSpPr>
          <a:spLocks noChangeAspect="1"/>
        </xdr:cNvSpPr>
      </xdr:nvSpPr>
      <xdr:spPr>
        <a:xfrm>
          <a:off x="0" y="0"/>
          <a:ext cx="5356712" cy="78398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t-IT" sz="4400" b="1" i="1" cap="none" spc="0">
              <a:ln w="13462">
                <a:solidFill>
                  <a:srgbClr val="00919E"/>
                </a:solidFill>
                <a:prstDash val="solid"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dist="38100" dir="2700000" algn="bl" rotWithShape="0">
                  <a:schemeClr val="accent5"/>
                </a:outerShdw>
              </a:effectLst>
              <a:latin typeface="Tw Cen MT" panose="020B0602020104020603" pitchFamily="34" charset="0"/>
              <a:ea typeface="Verdana" panose="020B0604030504040204" pitchFamily="34" charset="0"/>
            </a:rPr>
            <a:t>Importa</a:t>
          </a:r>
          <a:r>
            <a:rPr lang="it-IT" sz="4400" b="1" i="1" cap="none" spc="0" baseline="0">
              <a:ln w="13462">
                <a:solidFill>
                  <a:srgbClr val="00919E"/>
                </a:solidFill>
                <a:prstDash val="solid"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dist="38100" dir="2700000" algn="bl" rotWithShape="0">
                  <a:schemeClr val="accent5"/>
                </a:outerShdw>
              </a:effectLst>
              <a:latin typeface="Tw Cen MT" panose="020B0602020104020603" pitchFamily="34" charset="0"/>
              <a:ea typeface="Verdana" panose="020B0604030504040204" pitchFamily="34" charset="0"/>
            </a:rPr>
            <a:t> PDF (Bilanci)</a:t>
          </a:r>
          <a:endParaRPr lang="it-IT" sz="4400" b="1" i="1" cap="none" spc="0">
            <a:ln w="13462">
              <a:solidFill>
                <a:srgbClr val="00919E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  <a:latin typeface="Tw Cen MT" panose="020B0602020104020603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3</xdr:col>
      <xdr:colOff>1023613</xdr:colOff>
      <xdr:row>0</xdr:row>
      <xdr:rowOff>0</xdr:rowOff>
    </xdr:from>
    <xdr:to>
      <xdr:col>4</xdr:col>
      <xdr:colOff>1770388</xdr:colOff>
      <xdr:row>0</xdr:row>
      <xdr:rowOff>805377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FA7B871-D9D9-4A95-931B-63CAC6DD3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60440" y="0"/>
          <a:ext cx="1853140" cy="8053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3737741</xdr:colOff>
      <xdr:row>1</xdr:row>
      <xdr:rowOff>290348</xdr:rowOff>
    </xdr:from>
    <xdr:to>
      <xdr:col>4</xdr:col>
      <xdr:colOff>335016</xdr:colOff>
      <xdr:row>2</xdr:row>
      <xdr:rowOff>112986</xdr:rowOff>
    </xdr:to>
    <xdr:pic>
      <xdr:nvPicPr>
        <xdr:cNvPr id="7" name="Elemento grafico 6" descr="Home contorn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6B7B51-AC68-27EA-CB8E-0C9D5F4D9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787258" y="1131176"/>
          <a:ext cx="413844" cy="413844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3307195</xdr:colOff>
      <xdr:row>0</xdr:row>
      <xdr:rowOff>783981</xdr:rowOff>
    </xdr:to>
    <xdr:sp macro="" textlink="">
      <xdr:nvSpPr>
        <xdr:cNvPr id="2" name="Rettangolo con angoli arrotondati 1">
          <a:extLst>
            <a:ext uri="{FF2B5EF4-FFF2-40B4-BE49-F238E27FC236}">
              <a16:creationId xmlns:a16="http://schemas.microsoft.com/office/drawing/2014/main" id="{5C974DF2-4769-42D1-AAA6-8543B9E89459}"/>
            </a:ext>
          </a:extLst>
        </xdr:cNvPr>
        <xdr:cNvSpPr>
          <a:spLocks noChangeAspect="1"/>
        </xdr:cNvSpPr>
      </xdr:nvSpPr>
      <xdr:spPr>
        <a:xfrm>
          <a:off x="0" y="0"/>
          <a:ext cx="5356712" cy="78398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t-IT" sz="4400" b="1" i="1" cap="none" spc="0">
              <a:ln w="13462">
                <a:solidFill>
                  <a:srgbClr val="00919E"/>
                </a:solidFill>
                <a:prstDash val="solid"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dist="38100" dir="2700000" algn="bl" rotWithShape="0">
                  <a:schemeClr val="accent5"/>
                </a:outerShdw>
              </a:effectLst>
              <a:latin typeface="Tw Cen MT" panose="020B0602020104020603" pitchFamily="34" charset="0"/>
              <a:ea typeface="Verdana" panose="020B0604030504040204" pitchFamily="34" charset="0"/>
            </a:rPr>
            <a:t>Importa</a:t>
          </a:r>
          <a:r>
            <a:rPr lang="it-IT" sz="4400" b="1" i="1" cap="none" spc="0" baseline="0">
              <a:ln w="13462">
                <a:solidFill>
                  <a:srgbClr val="00919E"/>
                </a:solidFill>
                <a:prstDash val="solid"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dist="38100" dir="2700000" algn="bl" rotWithShape="0">
                  <a:schemeClr val="accent5"/>
                </a:outerShdw>
              </a:effectLst>
              <a:latin typeface="Tw Cen MT" panose="020B0602020104020603" pitchFamily="34" charset="0"/>
              <a:ea typeface="Verdana" panose="020B0604030504040204" pitchFamily="34" charset="0"/>
            </a:rPr>
            <a:t> PDF (Bilanci)</a:t>
          </a:r>
          <a:endParaRPr lang="it-IT" sz="4400" b="1" i="1" cap="none" spc="0">
            <a:ln w="13462">
              <a:solidFill>
                <a:srgbClr val="00919E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  <a:latin typeface="Tw Cen MT" panose="020B0602020104020603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3</xdr:col>
      <xdr:colOff>3160241</xdr:colOff>
      <xdr:row>0</xdr:row>
      <xdr:rowOff>0</xdr:rowOff>
    </xdr:from>
    <xdr:to>
      <xdr:col>5</xdr:col>
      <xdr:colOff>410327</xdr:colOff>
      <xdr:row>0</xdr:row>
      <xdr:rowOff>805377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ECAA33BF-60CB-4464-9E3F-F86710B01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09758" y="0"/>
          <a:ext cx="1848362" cy="80537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263AA778-2D60-4D2D-9C24-8998E92B94B3}" autoFormatId="16" applyNumberFormats="0" applyBorderFormats="0" applyFontFormats="0" applyPatternFormats="0" applyAlignmentFormats="0" applyWidthHeightFormats="0">
  <queryTableRefresh nextId="12" unboundColumnsRight="1">
    <queryTableFields count="5">
      <queryTableField id="1" name="Name" tableColumnId="1"/>
      <queryTableField id="2" name="Extension" tableColumnId="2"/>
      <queryTableField id="7" name="Data" tableColumnId="3"/>
      <queryTableField id="6" name="Folder Path" tableColumnId="6"/>
      <queryTableField id="11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1" xr16:uid="{51246D69-56D0-47ED-9745-CC729B819B1F}" autoFormatId="16" applyNumberFormats="0" applyBorderFormats="0" applyFontFormats="0" applyPatternFormats="0" applyAlignmentFormats="0" applyWidthHeightFormats="0">
  <queryTableRefresh nextId="12">
    <queryTableFields count="5">
      <queryTableField id="5" name="Pagina" tableColumnId="3"/>
      <queryTableField id="8" name="Azienda" tableColumnId="5"/>
      <queryTableField id="9" name="Data" tableColumnId="6"/>
      <queryTableField id="2" name="Voce" tableColumnId="2"/>
      <queryTableField id="6" name="Valor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2E5D75-1D2C-4C4B-98B0-9869FFCDE025}" name="ElencoBilanci" displayName="ElencoBilanci" ref="A11:E12" tableType="queryTable" totalsRowShown="0" headerRowDxfId="13" dataDxfId="12">
  <autoFilter ref="A11:E12" xr:uid="{D42E5D75-1D2C-4C4B-98B0-9869FFCDE025}"/>
  <tableColumns count="5">
    <tableColumn id="1" xr3:uid="{A4ABF212-AE9E-430B-82E0-0D7BA3FF7B46}" uniqueName="1" name="Name" queryTableFieldId="1" dataDxfId="11"/>
    <tableColumn id="2" xr3:uid="{1915D7F4-5E3A-49ED-B5C0-D835FEB32556}" uniqueName="2" name="Extension" queryTableFieldId="2" dataDxfId="10"/>
    <tableColumn id="3" xr3:uid="{774D66E4-7102-4EA9-B46B-191FEB4A3E6F}" uniqueName="3" name="Data" queryTableFieldId="7" dataDxfId="9"/>
    <tableColumn id="6" xr3:uid="{F84ED52A-A61C-4F32-B3F1-CB85084B0B36}" uniqueName="6" name="Folder Path" queryTableFieldId="6" dataDxfId="8"/>
    <tableColumn id="7" xr3:uid="{2841EC6E-5A76-46EC-97CE-A24D47D2C7DD}" uniqueName="7" name="Controllo regolarità nome del file" queryTableFieldId="11" dataDxfId="7">
      <calculatedColumnFormula>+IF(ElencoBilanci[[#This Row],[Folder Path]]&lt;&gt;$B$3,"Attenzione modificare il percorso del file",IF(
ISERROR(FIND("-",ElencoBilanci[[#This Row],[Name]])),"Nel nome non è stato inserito alcun - ",
IF(NOT(ISERROR(FIND("-",MID(ElencoBilanci[[#This Row],[Name]],FIND("-",ElencoBilanci[[#This Row],[Name]])+1,100)))),"Nel nome sono presenti troppi - ",
IF(ISERROR(FIND(".",LEFT(ElencoBilanci[[#This Row],[Name]],FIND(".pdf",ElencoBilanci[[#This Row],[Name]])-1))),"Mancano i . nella data","Il nome sembra rispettare le regole"))))</calculatedColumnFormula>
    </tableColumn>
  </tableColumns>
  <tableStyleInfo name="BPHolding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7AA931-A2F1-4348-97F4-FFD05F7366C4}" name="Tabella4" displayName="Tabella4" ref="A4:A5" totalsRowShown="0" headerRowDxfId="6" dataDxfId="5">
  <autoFilter ref="A4:A5" xr:uid="{377AA931-A2F1-4348-97F4-FFD05F7366C4}"/>
  <tableColumns count="1">
    <tableColumn id="1" xr3:uid="{FA5DF554-C41B-4DFC-9437-ADB57367FD0A}" name="Indica il percorso della cartella in cui sono contenuti i file" dataDxfId="4">
      <calculatedColumnFormula>+Home!B3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23ABBF-618C-45CB-AC9B-214ED48025D9}" name="BilanciCartella" displayName="BilanciCartella" ref="A4:E48" tableType="queryTable" totalsRowShown="0">
  <autoFilter ref="A4:E48" xr:uid="{F723ABBF-618C-45CB-AC9B-214ED48025D9}"/>
  <tableColumns count="5">
    <tableColumn id="3" xr3:uid="{0984D545-F3DF-4D02-A5C3-18E07EB4E06D}" uniqueName="3" name="Pagina" queryTableFieldId="5"/>
    <tableColumn id="5" xr3:uid="{C850FEF8-6D22-4BCE-A452-BC187153FC5D}" uniqueName="5" name="Azienda" queryTableFieldId="8" dataDxfId="3"/>
    <tableColumn id="6" xr3:uid="{A0F56007-6AD9-4FC4-894F-1F1A68A48E92}" uniqueName="6" name="Data" queryTableFieldId="9" dataDxfId="2"/>
    <tableColumn id="2" xr3:uid="{A70CA418-6ADD-4672-A016-50D652A4ADAF}" uniqueName="2" name="Voce" queryTableFieldId="2"/>
    <tableColumn id="4" xr3:uid="{561E9696-DF25-42CD-A1B4-E777208061AA}" uniqueName="4" name="Valore" queryTableFieldId="6" dataDxfId="1" dataCellStyle="Migliaia"/>
  </tableColumns>
  <tableStyleInfo name="BPHolding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B2E37-42DA-405A-AC7D-D1763033020C}">
  <sheetPr codeName="Foglio1"/>
  <dimension ref="A1:H33"/>
  <sheetViews>
    <sheetView showGridLines="0" showRowColHeaders="0" tabSelected="1" zoomScale="115" zoomScaleNormal="115" workbookViewId="0">
      <selection activeCell="A15" sqref="A15"/>
    </sheetView>
  </sheetViews>
  <sheetFormatPr defaultColWidth="0" defaultRowHeight="14.25" x14ac:dyDescent="0.2"/>
  <cols>
    <col min="1" max="1" width="84.7109375" style="5" bestFit="1" customWidth="1"/>
    <col min="2" max="2" width="14.28515625" style="5" bestFit="1" customWidth="1"/>
    <col min="3" max="3" width="12.5703125" style="5" bestFit="1" customWidth="1"/>
    <col min="4" max="4" width="16.5703125" style="5" bestFit="1" customWidth="1"/>
    <col min="5" max="5" width="40.5703125" style="5" bestFit="1" customWidth="1"/>
    <col min="6" max="6" width="11.5703125" style="5" bestFit="1" customWidth="1"/>
    <col min="7" max="7" width="30.28515625" style="5" bestFit="1" customWidth="1"/>
    <col min="8" max="8" width="9.140625" style="5" customWidth="1"/>
    <col min="9" max="16384" width="9.140625" style="5" hidden="1"/>
  </cols>
  <sheetData>
    <row r="1" spans="1:7" ht="69" customHeight="1" x14ac:dyDescent="0.2"/>
    <row r="2" spans="1:7" ht="15" thickBot="1" x14ac:dyDescent="0.25"/>
    <row r="3" spans="1:7" ht="15.75" customHeight="1" thickTop="1" x14ac:dyDescent="0.2">
      <c r="A3" s="9" t="s">
        <v>54</v>
      </c>
      <c r="B3" s="14" t="s">
        <v>51</v>
      </c>
      <c r="C3" s="15"/>
      <c r="D3" s="15"/>
      <c r="E3" s="15"/>
      <c r="G3" s="11" t="str">
        <f>+HYPERLINK(B3,"Apri la cartella")</f>
        <v>Apri la cartella</v>
      </c>
    </row>
    <row r="4" spans="1:7" ht="15.75" customHeight="1" x14ac:dyDescent="0.2">
      <c r="A4" s="9"/>
      <c r="G4" s="10"/>
    </row>
    <row r="5" spans="1:7" ht="15.75" customHeight="1" x14ac:dyDescent="0.2">
      <c r="A5" s="9"/>
      <c r="G5" s="10"/>
    </row>
    <row r="6" spans="1:7" x14ac:dyDescent="0.2">
      <c r="B6" s="8" t="str">
        <f>+IF(RIGHT(B3)&lt;&gt;"\","Il percorso deve terminare con \",IF(B3&lt;&gt;D12,"Attenzione aggiornare l'elenco bilanci (Alt + F5) se l'avviso non scompare cambiare la destinazione",""))</f>
        <v/>
      </c>
    </row>
    <row r="7" spans="1:7" x14ac:dyDescent="0.2">
      <c r="A7" s="9" t="s">
        <v>56</v>
      </c>
    </row>
    <row r="8" spans="1:7" x14ac:dyDescent="0.2">
      <c r="A8" s="9"/>
    </row>
    <row r="10" spans="1:7" x14ac:dyDescent="0.2">
      <c r="A10" s="6" t="s">
        <v>53</v>
      </c>
    </row>
    <row r="11" spans="1:7" x14ac:dyDescent="0.2">
      <c r="A11" s="5" t="s">
        <v>4</v>
      </c>
      <c r="B11" s="5" t="s">
        <v>5</v>
      </c>
      <c r="C11" s="5" t="s">
        <v>38</v>
      </c>
      <c r="D11" s="5" t="s">
        <v>6</v>
      </c>
      <c r="E11" s="5" t="s">
        <v>57</v>
      </c>
      <c r="G11" s="11" t="s">
        <v>55</v>
      </c>
    </row>
    <row r="12" spans="1:7" x14ac:dyDescent="0.2">
      <c r="A12" s="5" t="s">
        <v>58</v>
      </c>
      <c r="B12" s="5" t="s">
        <v>7</v>
      </c>
      <c r="C12" s="7">
        <v>44697</v>
      </c>
      <c r="D12" s="5" t="s">
        <v>51</v>
      </c>
      <c r="E12" s="5" t="str">
        <f>+IF(ElencoBilanci[[#This Row],[Folder Path]]&lt;&gt;$B$3,"Attenzione modificare il percorso del file",IF(
ISERROR(FIND("-",ElencoBilanci[[#This Row],[Name]])),"Nel nome non è stato inserito alcun - ",
IF(NOT(ISERROR(FIND("-",MID(ElencoBilanci[[#This Row],[Name]],FIND("-",ElencoBilanci[[#This Row],[Name]])+1,100)))),"Nel nome sono presenti troppi - ",
IF(ISERROR(FIND(".",LEFT(ElencoBilanci[[#This Row],[Name]],FIND(".pdf",ElencoBilanci[[#This Row],[Name]])-1))),"Mancano i . nella data","Il nome sembra rispettare le regole"))))</f>
        <v>Il nome sembra rispettare le regole</v>
      </c>
    </row>
    <row r="17" s="5" customFormat="1" x14ac:dyDescent="0.2"/>
    <row r="18" s="5" customFormat="1" x14ac:dyDescent="0.2"/>
    <row r="19" s="5" customFormat="1" x14ac:dyDescent="0.2"/>
    <row r="20" s="5" customFormat="1" x14ac:dyDescent="0.2"/>
    <row r="21" s="5" customFormat="1" x14ac:dyDescent="0.2"/>
    <row r="22" s="5" customFormat="1" x14ac:dyDescent="0.2"/>
    <row r="23" s="5" customFormat="1" x14ac:dyDescent="0.2"/>
    <row r="24" s="5" customFormat="1" x14ac:dyDescent="0.2"/>
    <row r="25" s="5" customFormat="1" x14ac:dyDescent="0.2"/>
    <row r="26" s="5" customFormat="1" x14ac:dyDescent="0.2"/>
    <row r="27" s="5" customFormat="1" x14ac:dyDescent="0.2"/>
    <row r="28" s="5" customFormat="1" x14ac:dyDescent="0.2"/>
    <row r="29" s="5" customFormat="1" x14ac:dyDescent="0.2"/>
    <row r="30" s="5" customFormat="1" x14ac:dyDescent="0.2"/>
    <row r="31" s="5" customFormat="1" x14ac:dyDescent="0.2"/>
    <row r="32" s="5" customFormat="1" x14ac:dyDescent="0.2"/>
    <row r="33" s="5" customFormat="1" x14ac:dyDescent="0.2"/>
  </sheetData>
  <mergeCells count="1">
    <mergeCell ref="B3:E3"/>
  </mergeCells>
  <conditionalFormatting sqref="E12">
    <cfRule type="containsText" dxfId="0" priority="1" operator="containsText" text="Manca">
      <formula>NOT(ISERROR(SEARCH("Manca",E12)))</formula>
    </cfRule>
  </conditionalFormatting>
  <dataValidations count="1">
    <dataValidation allowBlank="1" showInputMessage="1" showErrorMessage="1" prompt="Riportare il percorso completo della cartella in cui sono inseriti i bilanci terminando il percorso con il simbolo &quot;/&quot;" sqref="A3:A5" xr:uid="{0FF3C3B8-6C19-4816-912D-06C3EF4B3374}"/>
  </dataValidations>
  <hyperlinks>
    <hyperlink ref="G11" location="Bilanci!A1" display="Vai ai Bilanci Convertiti" xr:uid="{FCFCEDA3-D81C-4FB3-A17D-AB53958D6079}"/>
  </hyperlink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7DDE-8E52-4B73-9DE7-B58F98156A63}">
  <sheetPr codeName="Foglio2"/>
  <dimension ref="A4:A5"/>
  <sheetViews>
    <sheetView workbookViewId="0">
      <selection activeCell="A5" sqref="A5"/>
    </sheetView>
  </sheetViews>
  <sheetFormatPr defaultRowHeight="15" x14ac:dyDescent="0.25"/>
  <cols>
    <col min="1" max="1" width="54.85546875" bestFit="1" customWidth="1"/>
  </cols>
  <sheetData>
    <row r="4" spans="1:1" x14ac:dyDescent="0.25">
      <c r="A4" s="1" t="s">
        <v>37</v>
      </c>
    </row>
    <row r="5" spans="1:1" x14ac:dyDescent="0.25">
      <c r="A5" s="2" t="str">
        <f>+Home!B3</f>
        <v>C:\Bilanci\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285C-A453-4F5B-85F1-93BF7251B32E}">
  <sheetPr codeName="Foglio3"/>
  <dimension ref="A1:M48"/>
  <sheetViews>
    <sheetView showGridLines="0" showRowColHeaders="0" zoomScale="145" zoomScaleNormal="145" workbookViewId="0">
      <selection activeCell="D2" sqref="D2"/>
    </sheetView>
  </sheetViews>
  <sheetFormatPr defaultColWidth="0" defaultRowHeight="15" x14ac:dyDescent="0.25"/>
  <cols>
    <col min="1" max="1" width="9.140625" bestFit="1" customWidth="1"/>
    <col min="2" max="2" width="10.42578125" bestFit="1" customWidth="1"/>
    <col min="3" max="3" width="11.140625" bestFit="1" customWidth="1"/>
    <col min="4" max="4" width="57.28515625" bestFit="1" customWidth="1"/>
    <col min="5" max="5" width="11.7109375" bestFit="1" customWidth="1"/>
    <col min="6" max="6" width="9.140625" bestFit="1" customWidth="1"/>
    <col min="7" max="7" width="11.140625" bestFit="1" customWidth="1"/>
    <col min="8" max="8" width="11.85546875" customWidth="1"/>
    <col min="9" max="12" width="9.140625" customWidth="1"/>
    <col min="13" max="13" width="10" customWidth="1"/>
    <col min="14" max="16384" width="9.140625" hidden="1"/>
  </cols>
  <sheetData>
    <row r="1" spans="1:5" ht="66" customHeight="1" x14ac:dyDescent="0.25">
      <c r="A1" s="13"/>
    </row>
    <row r="2" spans="1:5" ht="46.5" customHeight="1" x14ac:dyDescent="0.25"/>
    <row r="3" spans="1:5" ht="46.5" customHeight="1" x14ac:dyDescent="0.25">
      <c r="A3" s="12" t="s">
        <v>52</v>
      </c>
    </row>
    <row r="4" spans="1:5" x14ac:dyDescent="0.25">
      <c r="A4" t="s">
        <v>39</v>
      </c>
      <c r="B4" t="s">
        <v>49</v>
      </c>
      <c r="C4" t="s">
        <v>38</v>
      </c>
      <c r="D4" t="s">
        <v>0</v>
      </c>
      <c r="E4" t="s">
        <v>40</v>
      </c>
    </row>
    <row r="5" spans="1:5" x14ac:dyDescent="0.25">
      <c r="A5" t="s">
        <v>46</v>
      </c>
      <c r="B5" t="s">
        <v>59</v>
      </c>
      <c r="C5" s="3">
        <v>44196</v>
      </c>
      <c r="D5" t="s">
        <v>50</v>
      </c>
      <c r="E5" s="4"/>
    </row>
    <row r="6" spans="1:5" x14ac:dyDescent="0.25">
      <c r="A6" t="s">
        <v>46</v>
      </c>
      <c r="B6" t="s">
        <v>59</v>
      </c>
      <c r="C6" s="3">
        <v>44196</v>
      </c>
      <c r="D6" t="s">
        <v>48</v>
      </c>
      <c r="E6" s="4"/>
    </row>
    <row r="7" spans="1:5" x14ac:dyDescent="0.25">
      <c r="A7" t="s">
        <v>46</v>
      </c>
      <c r="B7" t="s">
        <v>59</v>
      </c>
      <c r="C7" s="3">
        <v>44196</v>
      </c>
      <c r="D7" t="s">
        <v>50</v>
      </c>
      <c r="E7" s="4"/>
    </row>
    <row r="8" spans="1:5" x14ac:dyDescent="0.25">
      <c r="A8" t="s">
        <v>46</v>
      </c>
      <c r="B8" t="s">
        <v>59</v>
      </c>
      <c r="C8" s="3">
        <v>44196</v>
      </c>
      <c r="D8" t="s">
        <v>1</v>
      </c>
      <c r="E8" s="4"/>
    </row>
    <row r="9" spans="1:5" x14ac:dyDescent="0.25">
      <c r="A9" t="s">
        <v>46</v>
      </c>
      <c r="B9" t="s">
        <v>59</v>
      </c>
      <c r="C9" s="3">
        <v>44196</v>
      </c>
      <c r="D9" t="s">
        <v>10</v>
      </c>
      <c r="E9" s="4"/>
    </row>
    <row r="10" spans="1:5" x14ac:dyDescent="0.25">
      <c r="A10" t="s">
        <v>46</v>
      </c>
      <c r="B10" t="s">
        <v>59</v>
      </c>
      <c r="C10" s="3">
        <v>44196</v>
      </c>
      <c r="D10" t="s">
        <v>11</v>
      </c>
      <c r="E10" s="4"/>
    </row>
    <row r="11" spans="1:5" x14ac:dyDescent="0.25">
      <c r="A11" t="s">
        <v>46</v>
      </c>
      <c r="B11" t="s">
        <v>59</v>
      </c>
      <c r="C11" s="3">
        <v>44196</v>
      </c>
      <c r="D11" t="s">
        <v>8</v>
      </c>
      <c r="E11" s="4">
        <v>276903</v>
      </c>
    </row>
    <row r="12" spans="1:5" x14ac:dyDescent="0.25">
      <c r="A12" t="s">
        <v>46</v>
      </c>
      <c r="B12" t="s">
        <v>59</v>
      </c>
      <c r="C12" s="3">
        <v>44196</v>
      </c>
      <c r="D12" t="s">
        <v>9</v>
      </c>
      <c r="E12" s="4">
        <v>276903</v>
      </c>
    </row>
    <row r="13" spans="1:5" x14ac:dyDescent="0.25">
      <c r="A13" t="s">
        <v>46</v>
      </c>
      <c r="B13" t="s">
        <v>59</v>
      </c>
      <c r="C13" s="3">
        <v>44196</v>
      </c>
      <c r="D13" t="s">
        <v>12</v>
      </c>
      <c r="E13" s="4">
        <v>274378</v>
      </c>
    </row>
    <row r="14" spans="1:5" x14ac:dyDescent="0.25">
      <c r="A14" t="s">
        <v>46</v>
      </c>
      <c r="B14" t="s">
        <v>59</v>
      </c>
      <c r="C14" s="3">
        <v>44196</v>
      </c>
      <c r="D14" t="s">
        <v>13</v>
      </c>
      <c r="E14" s="4">
        <v>551281</v>
      </c>
    </row>
    <row r="15" spans="1:5" x14ac:dyDescent="0.25">
      <c r="A15" t="s">
        <v>46</v>
      </c>
      <c r="B15" t="s">
        <v>59</v>
      </c>
      <c r="C15" s="3">
        <v>44196</v>
      </c>
      <c r="D15" t="s">
        <v>14</v>
      </c>
      <c r="E15" s="4">
        <v>551281</v>
      </c>
    </row>
    <row r="16" spans="1:5" x14ac:dyDescent="0.25">
      <c r="A16" t="s">
        <v>46</v>
      </c>
      <c r="B16" t="s">
        <v>59</v>
      </c>
      <c r="C16" s="3">
        <v>44196</v>
      </c>
      <c r="D16" t="s">
        <v>2</v>
      </c>
      <c r="E16" s="4"/>
    </row>
    <row r="17" spans="1:5" x14ac:dyDescent="0.25">
      <c r="A17" t="s">
        <v>46</v>
      </c>
      <c r="B17" t="s">
        <v>59</v>
      </c>
      <c r="C17" s="3">
        <v>44196</v>
      </c>
      <c r="D17" t="s">
        <v>15</v>
      </c>
      <c r="E17" s="4"/>
    </row>
    <row r="18" spans="1:5" x14ac:dyDescent="0.25">
      <c r="A18" t="s">
        <v>46</v>
      </c>
      <c r="B18" t="s">
        <v>59</v>
      </c>
      <c r="C18" s="3">
        <v>44196</v>
      </c>
      <c r="D18" t="s">
        <v>16</v>
      </c>
      <c r="E18" s="4">
        <v>10000</v>
      </c>
    </row>
    <row r="19" spans="1:5" x14ac:dyDescent="0.25">
      <c r="A19" t="s">
        <v>46</v>
      </c>
      <c r="B19" t="s">
        <v>59</v>
      </c>
      <c r="C19" s="3">
        <v>44196</v>
      </c>
      <c r="D19" t="s">
        <v>17</v>
      </c>
      <c r="E19" s="4">
        <v>2000</v>
      </c>
    </row>
    <row r="20" spans="1:5" x14ac:dyDescent="0.25">
      <c r="A20" t="s">
        <v>46</v>
      </c>
      <c r="B20" t="s">
        <v>59</v>
      </c>
      <c r="C20" s="3">
        <v>44196</v>
      </c>
      <c r="D20" t="s">
        <v>18</v>
      </c>
      <c r="E20" s="4">
        <v>496972</v>
      </c>
    </row>
    <row r="21" spans="1:5" x14ac:dyDescent="0.25">
      <c r="A21" t="s">
        <v>46</v>
      </c>
      <c r="B21" t="s">
        <v>59</v>
      </c>
      <c r="C21" s="3">
        <v>44196</v>
      </c>
      <c r="D21" t="s">
        <v>19</v>
      </c>
      <c r="E21" s="4">
        <v>-534</v>
      </c>
    </row>
    <row r="22" spans="1:5" x14ac:dyDescent="0.25">
      <c r="A22" t="s">
        <v>46</v>
      </c>
      <c r="B22" t="s">
        <v>59</v>
      </c>
      <c r="C22" s="3">
        <v>44196</v>
      </c>
      <c r="D22" t="s">
        <v>20</v>
      </c>
      <c r="E22" s="4">
        <v>508438</v>
      </c>
    </row>
    <row r="23" spans="1:5" x14ac:dyDescent="0.25">
      <c r="A23" t="s">
        <v>46</v>
      </c>
      <c r="B23" t="s">
        <v>59</v>
      </c>
      <c r="C23" s="3">
        <v>44196</v>
      </c>
      <c r="D23" t="s">
        <v>21</v>
      </c>
      <c r="E23" s="4">
        <v>16311</v>
      </c>
    </row>
    <row r="24" spans="1:5" x14ac:dyDescent="0.25">
      <c r="A24" t="s">
        <v>46</v>
      </c>
      <c r="B24" t="s">
        <v>59</v>
      </c>
      <c r="C24" s="3">
        <v>44196</v>
      </c>
      <c r="D24" t="s">
        <v>22</v>
      </c>
      <c r="E24" s="4"/>
    </row>
    <row r="25" spans="1:5" x14ac:dyDescent="0.25">
      <c r="A25" t="s">
        <v>46</v>
      </c>
      <c r="B25" t="s">
        <v>59</v>
      </c>
      <c r="C25" s="3">
        <v>44196</v>
      </c>
      <c r="D25" t="s">
        <v>8</v>
      </c>
      <c r="E25" s="4">
        <v>26532</v>
      </c>
    </row>
    <row r="26" spans="1:5" x14ac:dyDescent="0.25">
      <c r="A26" t="s">
        <v>46</v>
      </c>
      <c r="B26" t="s">
        <v>59</v>
      </c>
      <c r="C26" s="3">
        <v>44196</v>
      </c>
      <c r="D26" t="s">
        <v>23</v>
      </c>
      <c r="E26" s="4">
        <v>26532</v>
      </c>
    </row>
    <row r="27" spans="1:5" x14ac:dyDescent="0.25">
      <c r="A27" t="s">
        <v>46</v>
      </c>
      <c r="B27" t="s">
        <v>59</v>
      </c>
      <c r="C27" s="3">
        <v>44196</v>
      </c>
      <c r="D27" t="s">
        <v>24</v>
      </c>
      <c r="E27" s="4">
        <v>551281</v>
      </c>
    </row>
    <row r="28" spans="1:5" x14ac:dyDescent="0.25">
      <c r="A28" t="s">
        <v>47</v>
      </c>
      <c r="B28" t="s">
        <v>59</v>
      </c>
      <c r="C28" s="3">
        <v>44196</v>
      </c>
      <c r="D28" t="s">
        <v>25</v>
      </c>
      <c r="E28" s="4"/>
    </row>
    <row r="29" spans="1:5" x14ac:dyDescent="0.25">
      <c r="A29" t="s">
        <v>47</v>
      </c>
      <c r="B29" t="s">
        <v>59</v>
      </c>
      <c r="C29" s="3">
        <v>44196</v>
      </c>
      <c r="D29" t="s">
        <v>48</v>
      </c>
      <c r="E29" s="4"/>
    </row>
    <row r="30" spans="1:5" x14ac:dyDescent="0.25">
      <c r="A30" t="s">
        <v>47</v>
      </c>
      <c r="B30" t="s">
        <v>59</v>
      </c>
      <c r="C30" s="3">
        <v>44196</v>
      </c>
      <c r="D30" t="s">
        <v>25</v>
      </c>
      <c r="E30" s="4"/>
    </row>
    <row r="31" spans="1:5" x14ac:dyDescent="0.25">
      <c r="A31" t="s">
        <v>47</v>
      </c>
      <c r="B31" t="s">
        <v>59</v>
      </c>
      <c r="C31" s="3">
        <v>44196</v>
      </c>
      <c r="D31" t="s">
        <v>41</v>
      </c>
      <c r="E31" s="4"/>
    </row>
    <row r="32" spans="1:5" x14ac:dyDescent="0.25">
      <c r="A32" t="s">
        <v>47</v>
      </c>
      <c r="B32" t="s">
        <v>59</v>
      </c>
      <c r="C32" s="3">
        <v>44196</v>
      </c>
      <c r="D32" t="s">
        <v>26</v>
      </c>
      <c r="E32" s="4">
        <v>3172</v>
      </c>
    </row>
    <row r="33" spans="1:5" x14ac:dyDescent="0.25">
      <c r="A33" t="s">
        <v>47</v>
      </c>
      <c r="B33" t="s">
        <v>59</v>
      </c>
      <c r="C33" s="3">
        <v>44196</v>
      </c>
      <c r="D33" t="s">
        <v>27</v>
      </c>
      <c r="E33" s="4"/>
    </row>
    <row r="34" spans="1:5" x14ac:dyDescent="0.25">
      <c r="A34" t="s">
        <v>47</v>
      </c>
      <c r="B34" t="s">
        <v>59</v>
      </c>
      <c r="C34" s="3">
        <v>44196</v>
      </c>
      <c r="D34" t="s">
        <v>3</v>
      </c>
      <c r="E34" s="4"/>
    </row>
    <row r="35" spans="1:5" x14ac:dyDescent="0.25">
      <c r="A35" t="s">
        <v>47</v>
      </c>
      <c r="B35" t="s">
        <v>59</v>
      </c>
      <c r="C35" s="3">
        <v>44196</v>
      </c>
      <c r="D35" t="s">
        <v>28</v>
      </c>
      <c r="E35" s="4"/>
    </row>
    <row r="36" spans="1:5" x14ac:dyDescent="0.25">
      <c r="A36" t="s">
        <v>47</v>
      </c>
      <c r="B36" t="s">
        <v>59</v>
      </c>
      <c r="C36" s="3">
        <v>44196</v>
      </c>
      <c r="D36" t="s">
        <v>29</v>
      </c>
      <c r="E36" s="4">
        <v>3172</v>
      </c>
    </row>
    <row r="37" spans="1:5" x14ac:dyDescent="0.25">
      <c r="A37" t="s">
        <v>47</v>
      </c>
      <c r="B37" t="s">
        <v>59</v>
      </c>
      <c r="C37" s="3">
        <v>44196</v>
      </c>
      <c r="D37" t="s">
        <v>42</v>
      </c>
      <c r="E37" s="4"/>
    </row>
    <row r="38" spans="1:5" x14ac:dyDescent="0.25">
      <c r="A38" t="s">
        <v>47</v>
      </c>
      <c r="B38" t="s">
        <v>59</v>
      </c>
      <c r="C38" s="3">
        <v>44196</v>
      </c>
      <c r="D38" t="s">
        <v>30</v>
      </c>
      <c r="E38" s="4">
        <v>2961</v>
      </c>
    </row>
    <row r="39" spans="1:5" x14ac:dyDescent="0.25">
      <c r="A39" t="s">
        <v>47</v>
      </c>
      <c r="B39" t="s">
        <v>59</v>
      </c>
      <c r="C39" s="3">
        <v>44196</v>
      </c>
      <c r="D39" t="s">
        <v>31</v>
      </c>
      <c r="E39" s="4">
        <v>460</v>
      </c>
    </row>
    <row r="40" spans="1:5" x14ac:dyDescent="0.25">
      <c r="A40" t="s">
        <v>47</v>
      </c>
      <c r="B40" t="s">
        <v>59</v>
      </c>
      <c r="C40" s="3">
        <v>44196</v>
      </c>
      <c r="D40" t="s">
        <v>32</v>
      </c>
      <c r="E40" s="4">
        <v>3421</v>
      </c>
    </row>
    <row r="41" spans="1:5" x14ac:dyDescent="0.25">
      <c r="A41" t="s">
        <v>47</v>
      </c>
      <c r="B41" t="s">
        <v>59</v>
      </c>
      <c r="C41" s="3">
        <v>44196</v>
      </c>
      <c r="D41" t="s">
        <v>33</v>
      </c>
      <c r="E41" s="4">
        <v>-249</v>
      </c>
    </row>
    <row r="42" spans="1:5" x14ac:dyDescent="0.25">
      <c r="A42" t="s">
        <v>47</v>
      </c>
      <c r="B42" t="s">
        <v>59</v>
      </c>
      <c r="C42" s="3">
        <v>44196</v>
      </c>
      <c r="D42" t="s">
        <v>43</v>
      </c>
      <c r="E42" s="4"/>
    </row>
    <row r="43" spans="1:5" x14ac:dyDescent="0.25">
      <c r="A43" t="s">
        <v>47</v>
      </c>
      <c r="B43" t="s">
        <v>59</v>
      </c>
      <c r="C43" s="3">
        <v>44196</v>
      </c>
      <c r="D43" t="s">
        <v>34</v>
      </c>
      <c r="E43" s="4"/>
    </row>
    <row r="44" spans="1:5" x14ac:dyDescent="0.25">
      <c r="A44" t="s">
        <v>47</v>
      </c>
      <c r="B44" t="s">
        <v>59</v>
      </c>
      <c r="C44" s="3">
        <v>44196</v>
      </c>
      <c r="D44" t="s">
        <v>3</v>
      </c>
      <c r="E44" s="4">
        <v>285</v>
      </c>
    </row>
    <row r="45" spans="1:5" x14ac:dyDescent="0.25">
      <c r="A45" t="s">
        <v>47</v>
      </c>
      <c r="B45" t="s">
        <v>59</v>
      </c>
      <c r="C45" s="3">
        <v>44196</v>
      </c>
      <c r="D45" t="s">
        <v>35</v>
      </c>
      <c r="E45" s="4">
        <v>285</v>
      </c>
    </row>
    <row r="46" spans="1:5" x14ac:dyDescent="0.25">
      <c r="A46" t="s">
        <v>47</v>
      </c>
      <c r="B46" t="s">
        <v>59</v>
      </c>
      <c r="C46" s="3">
        <v>44196</v>
      </c>
      <c r="D46" t="s">
        <v>36</v>
      </c>
      <c r="E46" s="4">
        <v>-285</v>
      </c>
    </row>
    <row r="47" spans="1:5" x14ac:dyDescent="0.25">
      <c r="A47" t="s">
        <v>47</v>
      </c>
      <c r="B47" t="s">
        <v>59</v>
      </c>
      <c r="C47" s="3">
        <v>44196</v>
      </c>
      <c r="D47" t="s">
        <v>44</v>
      </c>
      <c r="E47" s="4">
        <v>-534</v>
      </c>
    </row>
    <row r="48" spans="1:5" x14ac:dyDescent="0.25">
      <c r="A48" t="s">
        <v>47</v>
      </c>
      <c r="B48" t="s">
        <v>59</v>
      </c>
      <c r="C48" s="3">
        <v>44196</v>
      </c>
      <c r="D48" t="s">
        <v>45</v>
      </c>
      <c r="E48" s="4">
        <v>-534</v>
      </c>
    </row>
  </sheetData>
  <phoneticPr fontId="4" type="noConversion"/>
  <hyperlinks>
    <hyperlink ref="A3" location="Bilanci!A10" display="Alt + F5 per aggiornare" xr:uid="{C663AF6D-1F7E-4596-989B-E6430B721917}"/>
  </hyperlink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014026-a0ef-45dc-9ca9-ac355db24e99" xsi:nil="true"/>
    <lcf76f155ced4ddcb4097134ff3c332f xmlns="77a3f60d-3740-4b8f-aea2-18b203205ead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B2E99503D3AD4DA2231F0D240043DD" ma:contentTypeVersion="18" ma:contentTypeDescription="Creare un nuovo documento." ma:contentTypeScope="" ma:versionID="57b8045e8abefa85dedc7991371a38b2">
  <xsd:schema xmlns:xsd="http://www.w3.org/2001/XMLSchema" xmlns:xs="http://www.w3.org/2001/XMLSchema" xmlns:p="http://schemas.microsoft.com/office/2006/metadata/properties" xmlns:ns2="77a3f60d-3740-4b8f-aea2-18b203205ead" xmlns:ns3="6c014026-a0ef-45dc-9ca9-ac355db24e99" targetNamespace="http://schemas.microsoft.com/office/2006/metadata/properties" ma:root="true" ma:fieldsID="f5ecd2ee382a35af39c71524ba84a011" ns2:_="" ns3:_="">
    <xsd:import namespace="77a3f60d-3740-4b8f-aea2-18b203205ead"/>
    <xsd:import namespace="6c014026-a0ef-45dc-9ca9-ac355db24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3f60d-3740-4b8f-aea2-18b203205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bbff36a2-fd21-4e1e-a182-03a870c0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14026-a0ef-45dc-9ca9-ac355db24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17ed12-4c7d-4ce0-86b8-91d9357e9166}" ma:internalName="TaxCatchAll" ma:showField="CatchAllData" ma:web="6c014026-a0ef-45dc-9ca9-ac355db24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4FFC1E-35C0-4091-87A6-1F817E0A4DDF}">
  <ds:schemaRefs>
    <ds:schemaRef ds:uri="http://schemas.microsoft.com/office/2006/metadata/properties"/>
    <ds:schemaRef ds:uri="http://schemas.microsoft.com/office/infopath/2007/PartnerControls"/>
    <ds:schemaRef ds:uri="6c014026-a0ef-45dc-9ca9-ac355db24e99"/>
    <ds:schemaRef ds:uri="77a3f60d-3740-4b8f-aea2-18b203205ead"/>
  </ds:schemaRefs>
</ds:datastoreItem>
</file>

<file path=customXml/itemProps2.xml><?xml version="1.0" encoding="utf-8"?>
<ds:datastoreItem xmlns:ds="http://schemas.openxmlformats.org/officeDocument/2006/customXml" ds:itemID="{711E0B10-C347-4CED-8EF1-2BD67DCF3C9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CBE5031-DF67-4191-BDDF-A8D36C618D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a3f60d-3740-4b8f-aea2-18b203205ead"/>
    <ds:schemaRef ds:uri="6c014026-a0ef-45dc-9ca9-ac355db24e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6D3308F-F9B6-472F-8578-16349C704D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Home</vt:lpstr>
      <vt:lpstr>Bilanci</vt:lpstr>
      <vt:lpstr>P_Origine</vt:lpstr>
      <vt:lpstr>Percorso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Mattavelli</dc:creator>
  <cp:lastModifiedBy>SUPPORTO OVERVIEW</cp:lastModifiedBy>
  <dcterms:created xsi:type="dcterms:W3CDTF">2022-05-16T07:16:54Z</dcterms:created>
  <dcterms:modified xsi:type="dcterms:W3CDTF">2024-03-13T14:16:18Z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0x01010049B2E99503D3AD4DA2231F0D240043DD</vt:lpwstr>
  </property>
  <property fmtid="{D5CDD505-2E9C-101B-9397-08002B2CF9AE}" pid="3" name="MediaServiceImageTags">
    <vt:lpwstr/>
  </property>
</Properties>
</file>