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drawings/drawing3.xml" ContentType="application/vnd.openxmlformats-officedocument.drawing+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Questa_cartella_di_lavoro" defaultThemeVersion="166925"/>
  <mc:AlternateContent xmlns:mc="http://schemas.openxmlformats.org/markup-compatibility/2006">
    <mc:Choice Requires="x15">
      <x15ac:absPath xmlns:x15ac="http://schemas.microsoft.com/office/spreadsheetml/2010/11/ac" url="C:\Users\BPH_USER\Desktop\"/>
    </mc:Choice>
  </mc:AlternateContent>
  <xr:revisionPtr revIDLastSave="0" documentId="8_{6361AE64-9669-48AD-9ADE-768A163DBA27}" xr6:coauthVersionLast="47" xr6:coauthVersionMax="47" xr10:uidLastSave="{00000000-0000-0000-0000-000000000000}"/>
  <bookViews>
    <workbookView xWindow="-120" yWindow="-120" windowWidth="29040" windowHeight="15720" xr2:uid="{0197A79F-3384-4DF8-8AD1-255AD3DE3040}"/>
  </bookViews>
  <sheets>
    <sheet name="SEZIONI 1-2" sheetId="11" r:id="rId1"/>
    <sheet name="SEZIONI 3-4" sheetId="8" r:id="rId2"/>
    <sheet name="SEZIONI 5-6" sheetId="9" r:id="rId3"/>
    <sheet name="Relazione" sheetId="5" r:id="rId4"/>
    <sheet name="Relazione Compatta (solo 365)" sheetId="10" r:id="rId5"/>
  </sheets>
  <externalReferences>
    <externalReference r:id="rId6"/>
  </externalReferences>
  <definedNames>
    <definedName name="_xlnm._FilterDatabase" localSheetId="3" hidden="1">Relazione!$D$3:$D$65</definedName>
    <definedName name="A">[1]Bilanci!$C$19</definedName>
    <definedName name="AC">REPT(CHAR(10),2)</definedName>
    <definedName name="anscount" hidden="1">1</definedName>
    <definedName name="_xlnm.Print_Area" localSheetId="3">Relazione!$L$2:$L$97</definedName>
    <definedName name="_xlnm.Print_Area" localSheetId="4">'Relazione Compatta (solo 365)'!$A$5:$A$17</definedName>
    <definedName name="CFM">[1]Bilanci!$C$14</definedName>
    <definedName name="consumi">[1]Bilanci!$C$10</definedName>
    <definedName name="CV">[1]Bilanci!$C$12</definedName>
    <definedName name="Data">Relazione!$L$4</definedName>
    <definedName name="fpas">EDATE([0]!fp,12)</definedName>
    <definedName name="ic">"Inserire nuovo conto"</definedName>
    <definedName name="IncConsumi">[1]Bilanci!$D$10</definedName>
    <definedName name="IncCV">[1]Bilanci!$D$12</definedName>
    <definedName name="IRAP">[1]Bilanci!$C$24</definedName>
    <definedName name="IRES">[1]Bilanci!$C$23</definedName>
    <definedName name="leas" hidden="1">{#N/A,#N/A,TRUE,"Attivo";#N/A,#N/A,TRUE,"Passivo";#N/A,#N/A,TRUE,"Conto Economico"}</definedName>
    <definedName name="LEASING" hidden="1">{#N/A,#N/A,TRUE,"Attivo";#N/A,#N/A,TRUE,"Passivo";#N/A,#N/A,TRUE,"Conto Economico"}</definedName>
    <definedName name="me">IF(m&gt;0,m,12)</definedName>
    <definedName name="n">+MID(CELL("nomefile"),FIND("[",CELL("nomefile")),100)&amp;"!"</definedName>
    <definedName name="nBi">+LEFT(CELL("nomefile"),FIND("[",CELL("nomefile"))-1)&amp;"\BplanEasy2.0.pbix"</definedName>
    <definedName name="NomeSerie">OFFSET([1]Risultati!$C$55,0,0,[1]Risultati!$R$68)</definedName>
    <definedName name="NS">OR([1]Risultati!$B1=0,[1]Risultati!$B1="")</definedName>
    <definedName name="Nscen">#REF!</definedName>
    <definedName name="OF">[1]Bilanci!$C$21</definedName>
    <definedName name="p">+CHAR(149)&amp; " "</definedName>
    <definedName name="pu">". "</definedName>
    <definedName name="RAT">OFFSET(STR,0,1)</definedName>
    <definedName name="Ricavi">[1]Bilanci!$C$7</definedName>
    <definedName name="Risultati">[1]!Tabella2[[#Headers],[Id]]</definedName>
    <definedName name="s">" "</definedName>
    <definedName name="Serie">OFFSET([1]Risultati!$A$55,0,[1]Risultati!$Q$68,[1]Risultati!$R$68,1)</definedName>
    <definedName name="TB">IF(t="Abbreviato Cee",1,IF(t="CEE",2,3))</definedName>
    <definedName name="TBA">IF(ta="Abbreviato Cee",1,IF(ta="CEE",2,3))</definedName>
    <definedName name="TSI">+VLOOKUP(Tipo&amp;1,[0]!ind,3,0)</definedName>
    <definedName name="TSII">+VLOOKUP(Tipo&amp;2,[0]!ind,3,0)</definedName>
    <definedName name="v">", "</definedName>
    <definedName name="w" hidden="1">{#N/A,#N/A,TRUE,"Attivo";#N/A,#N/A,TRUE,"Passivo";#N/A,#N/A,TRUE,"Conto Economico"}</definedName>
    <definedName name="wrn.Bilancio." hidden="1">{#N/A,#N/A,TRUE,"Attivo";#N/A,#N/A,TRUE,"Passivo";#N/A,#N/A,TRUE,"Conto Economico"}</definedName>
    <definedName name="wrn.Bracco." hidden="1">{"Bracco_Ce",#N/A,FALSE,"BRACCO_8";"Bracco_SP",#N/A,FALSE,"BRACCO_8";"Bracco_DF",#N/A,FALSE,"BRACCO_8";"Bracco_IB",#N/A,FALSE,"BRACCO_8"}</definedName>
    <definedName name="x">OR(ind="",LEFT(ind,3)="Pdt")</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98" i="5" l="1"/>
  <c r="L3" i="5"/>
  <c r="L4" i="5"/>
  <c r="B186" i="5"/>
  <c r="B168" i="5"/>
  <c r="B26" i="5" l="1"/>
  <c r="I15" i="5" s="1"/>
  <c r="B5" i="5"/>
  <c r="M37" i="11"/>
  <c r="L37" i="11"/>
  <c r="M36" i="11"/>
  <c r="L36" i="11"/>
  <c r="M35" i="11"/>
  <c r="C56" i="5" s="1"/>
  <c r="L35" i="11"/>
  <c r="D55" i="5" s="1"/>
  <c r="J27" i="5" s="1"/>
  <c r="M34" i="11"/>
  <c r="C54" i="5" s="1"/>
  <c r="L34" i="11"/>
  <c r="D53" i="5" s="1"/>
  <c r="J26" i="5" s="1"/>
  <c r="M33" i="11"/>
  <c r="C52" i="5" s="1"/>
  <c r="L33" i="11"/>
  <c r="D51" i="5" s="1"/>
  <c r="J25" i="5" s="1"/>
  <c r="M32" i="11"/>
  <c r="C50" i="5" s="1"/>
  <c r="L32" i="11"/>
  <c r="D49" i="5" s="1"/>
  <c r="M31" i="11"/>
  <c r="C48" i="5" s="1"/>
  <c r="L31" i="11"/>
  <c r="D47" i="5" s="1"/>
  <c r="M30" i="11"/>
  <c r="C46" i="5" s="1"/>
  <c r="L30" i="11"/>
  <c r="D45" i="5" s="1"/>
  <c r="M29" i="11"/>
  <c r="C44" i="5" s="1"/>
  <c r="L29" i="11"/>
  <c r="D43" i="5" s="1"/>
  <c r="M28" i="11"/>
  <c r="C42" i="5" s="1"/>
  <c r="L28" i="11"/>
  <c r="D41" i="5" s="1"/>
  <c r="J22" i="5" s="1"/>
  <c r="M27" i="11"/>
  <c r="C40" i="5" s="1"/>
  <c r="L27" i="11"/>
  <c r="D39" i="5" s="1"/>
  <c r="J21" i="5" s="1"/>
  <c r="M26" i="11"/>
  <c r="C38" i="5" s="1"/>
  <c r="L26" i="11"/>
  <c r="D37" i="5" s="1"/>
  <c r="J20" i="5" s="1"/>
  <c r="M25" i="11"/>
  <c r="C36" i="5" s="1"/>
  <c r="L25" i="11"/>
  <c r="D35" i="5" s="1"/>
  <c r="M24" i="11"/>
  <c r="C34" i="5" s="1"/>
  <c r="L24" i="11"/>
  <c r="D33" i="5" s="1"/>
  <c r="M23" i="11"/>
  <c r="C32" i="5" s="1"/>
  <c r="L23" i="11"/>
  <c r="D31" i="5" s="1"/>
  <c r="J18" i="5" s="1"/>
  <c r="M22" i="11"/>
  <c r="C30" i="5" s="1"/>
  <c r="L22" i="11"/>
  <c r="D29" i="5" s="1"/>
  <c r="J17" i="5" s="1"/>
  <c r="M21" i="11"/>
  <c r="C28" i="5" s="1"/>
  <c r="L21" i="11"/>
  <c r="D27" i="5" s="1"/>
  <c r="J16" i="5" s="1"/>
  <c r="M20" i="11"/>
  <c r="L20" i="11"/>
  <c r="M19" i="11"/>
  <c r="L19" i="11"/>
  <c r="M18" i="11"/>
  <c r="C25" i="5" s="1"/>
  <c r="L18" i="11"/>
  <c r="D24" i="5" s="1"/>
  <c r="M17" i="11"/>
  <c r="C23" i="5" s="1"/>
  <c r="L17" i="11"/>
  <c r="D22" i="5" s="1"/>
  <c r="M16" i="11"/>
  <c r="C21" i="5" s="1"/>
  <c r="L16" i="11"/>
  <c r="D20" i="5" s="1"/>
  <c r="M15" i="11"/>
  <c r="C19" i="5" s="1"/>
  <c r="L15" i="11"/>
  <c r="D18" i="5" s="1"/>
  <c r="M14" i="11"/>
  <c r="C17" i="5" s="1"/>
  <c r="L14" i="11"/>
  <c r="D16" i="5" s="1"/>
  <c r="J11" i="5" s="1"/>
  <c r="M13" i="11"/>
  <c r="C15" i="5" s="1"/>
  <c r="L13" i="11"/>
  <c r="D14" i="5" s="1"/>
  <c r="J10" i="5" s="1"/>
  <c r="M12" i="11"/>
  <c r="C13" i="5" s="1"/>
  <c r="L12" i="11"/>
  <c r="D12" i="5" s="1"/>
  <c r="J9" i="5" s="1"/>
  <c r="M11" i="11"/>
  <c r="C11" i="5" s="1"/>
  <c r="L11" i="11"/>
  <c r="D10" i="5" s="1"/>
  <c r="J8" i="5" s="1"/>
  <c r="M10" i="11"/>
  <c r="C9" i="5" s="1"/>
  <c r="L10" i="11"/>
  <c r="D8" i="5" s="1"/>
  <c r="J7" i="5" s="1"/>
  <c r="M9" i="11"/>
  <c r="C7" i="5" s="1"/>
  <c r="L9" i="11"/>
  <c r="D6" i="5" s="1"/>
  <c r="J6" i="5" s="1"/>
  <c r="F125" i="8"/>
  <c r="F124" i="8"/>
  <c r="F118" i="8"/>
  <c r="F117" i="8"/>
  <c r="F120" i="8"/>
  <c r="F119" i="8"/>
  <c r="F116" i="8"/>
  <c r="F115" i="8"/>
  <c r="F112" i="8"/>
  <c r="F111" i="8"/>
  <c r="F105" i="8"/>
  <c r="F106" i="8"/>
  <c r="F101" i="8"/>
  <c r="F80" i="8"/>
  <c r="F78" i="8"/>
  <c r="F70" i="8"/>
  <c r="F67" i="8"/>
  <c r="F61" i="8"/>
  <c r="F53" i="8"/>
  <c r="F43" i="8"/>
  <c r="F37" i="8"/>
  <c r="F28" i="8"/>
  <c r="F10" i="8"/>
  <c r="M151" i="8"/>
  <c r="C165" i="5" s="1"/>
  <c r="L151" i="8"/>
  <c r="D164" i="5" s="1"/>
  <c r="M150" i="8"/>
  <c r="C163" i="5" s="1"/>
  <c r="L150" i="8"/>
  <c r="D162" i="5" s="1"/>
  <c r="F79" i="8"/>
  <c r="F77" i="8"/>
  <c r="F143" i="8"/>
  <c r="F141" i="8"/>
  <c r="F139" i="8"/>
  <c r="I5" i="5"/>
  <c r="J13" i="5" l="1"/>
  <c r="J83" i="5"/>
  <c r="J24" i="5"/>
  <c r="J23" i="5"/>
  <c r="J19" i="5"/>
  <c r="J12" i="5"/>
  <c r="M26" i="9"/>
  <c r="M21" i="9"/>
  <c r="M20" i="9"/>
  <c r="M19" i="9"/>
  <c r="M16" i="9"/>
  <c r="M10" i="9"/>
  <c r="M9" i="9"/>
  <c r="M8" i="9"/>
  <c r="M7" i="9"/>
  <c r="M6" i="9"/>
  <c r="L26" i="9"/>
  <c r="L21" i="9"/>
  <c r="L20" i="9"/>
  <c r="L19" i="9"/>
  <c r="L16" i="9"/>
  <c r="L10" i="9"/>
  <c r="L9" i="9"/>
  <c r="L8" i="9"/>
  <c r="L7" i="9"/>
  <c r="L6" i="9"/>
  <c r="M149" i="8"/>
  <c r="M135" i="8"/>
  <c r="M134" i="8"/>
  <c r="M133" i="8"/>
  <c r="M132" i="8"/>
  <c r="M131" i="8"/>
  <c r="M130" i="8"/>
  <c r="M129" i="8"/>
  <c r="M128" i="8"/>
  <c r="M127" i="8"/>
  <c r="M126" i="8"/>
  <c r="M123" i="8"/>
  <c r="M122" i="8"/>
  <c r="M114" i="8"/>
  <c r="M110" i="8"/>
  <c r="M109" i="8"/>
  <c r="M108" i="8"/>
  <c r="M103" i="8"/>
  <c r="M87" i="8"/>
  <c r="M86" i="8"/>
  <c r="M85" i="8"/>
  <c r="M84" i="8"/>
  <c r="M83" i="8"/>
  <c r="M82" i="8"/>
  <c r="M81" i="8"/>
  <c r="M76" i="8"/>
  <c r="M75" i="8"/>
  <c r="M74" i="8"/>
  <c r="M73" i="8"/>
  <c r="M72" i="8"/>
  <c r="M4" i="8"/>
  <c r="L149" i="8"/>
  <c r="L135" i="8"/>
  <c r="L134" i="8"/>
  <c r="L133" i="8"/>
  <c r="L132" i="8"/>
  <c r="L131" i="8"/>
  <c r="L130" i="8"/>
  <c r="L129" i="8"/>
  <c r="L128" i="8"/>
  <c r="L127" i="8"/>
  <c r="L126" i="8"/>
  <c r="L123" i="8"/>
  <c r="L122" i="8"/>
  <c r="L114" i="8"/>
  <c r="L110" i="8"/>
  <c r="L109" i="8"/>
  <c r="L108" i="8"/>
  <c r="L103" i="8"/>
  <c r="L87" i="8"/>
  <c r="L86" i="8"/>
  <c r="L85" i="8"/>
  <c r="L84" i="8"/>
  <c r="L83" i="8"/>
  <c r="L82" i="8"/>
  <c r="L81" i="8"/>
  <c r="L76" i="8"/>
  <c r="L75" i="8"/>
  <c r="L74" i="8"/>
  <c r="L73" i="8"/>
  <c r="L72" i="8"/>
  <c r="L4" i="8"/>
  <c r="L6" i="5" l="1" a="1"/>
  <c r="L6" i="5" s="1"/>
  <c r="I79" i="8"/>
  <c r="D94" i="5" s="1"/>
  <c r="J48" i="5" s="1"/>
  <c r="I77" i="8"/>
  <c r="D92" i="5" s="1"/>
  <c r="J47" i="5" s="1"/>
  <c r="F62" i="8"/>
  <c r="B63" i="5"/>
  <c r="I32" i="5" s="1"/>
  <c r="I115" i="8"/>
  <c r="N99" i="8"/>
  <c r="N100" i="8"/>
  <c r="F90" i="8"/>
  <c r="N138" i="8"/>
  <c r="N139" i="8"/>
  <c r="N140" i="8"/>
  <c r="N141" i="8"/>
  <c r="N142" i="8"/>
  <c r="N143" i="8"/>
  <c r="N144" i="8"/>
  <c r="N145" i="8"/>
  <c r="N146" i="8"/>
  <c r="N147" i="8"/>
  <c r="N137" i="8"/>
  <c r="N64" i="8"/>
  <c r="N65" i="8"/>
  <c r="N66" i="8"/>
  <c r="N67" i="8"/>
  <c r="N63" i="8"/>
  <c r="B111" i="5" l="1"/>
  <c r="I57" i="5" s="1"/>
  <c r="L54" i="5" s="1"/>
  <c r="I94" i="5" l="1"/>
  <c r="L91" i="5" s="1"/>
  <c r="I84" i="5"/>
  <c r="L81" i="5" s="1"/>
  <c r="L29" i="5"/>
  <c r="L15" i="5"/>
  <c r="L5" i="5"/>
  <c r="C198" i="5"/>
  <c r="D197" i="5"/>
  <c r="J100" i="5" s="1"/>
  <c r="I24" i="9"/>
  <c r="D195" i="5" s="1"/>
  <c r="J99" i="5" s="1"/>
  <c r="I22" i="9"/>
  <c r="C192" i="5"/>
  <c r="D191" i="5"/>
  <c r="J97" i="5" s="1"/>
  <c r="C190" i="5"/>
  <c r="D189" i="5"/>
  <c r="J96" i="5" s="1"/>
  <c r="C188" i="5"/>
  <c r="D187" i="5"/>
  <c r="J95" i="5" s="1"/>
  <c r="C184" i="5"/>
  <c r="D183" i="5"/>
  <c r="J92" i="5" s="1"/>
  <c r="I13" i="9"/>
  <c r="D181" i="5" s="1"/>
  <c r="J91" i="5" s="1"/>
  <c r="I11" i="9"/>
  <c r="D179" i="5" s="1"/>
  <c r="J90" i="5" s="1"/>
  <c r="D177" i="5"/>
  <c r="J89" i="5" s="1"/>
  <c r="C176" i="5"/>
  <c r="D173" i="5"/>
  <c r="J87" i="5" s="1"/>
  <c r="C172" i="5"/>
  <c r="D169" i="5"/>
  <c r="J85" i="5" s="1"/>
  <c r="C161" i="5"/>
  <c r="D160" i="5"/>
  <c r="J82" i="5" s="1"/>
  <c r="D132" i="5"/>
  <c r="J68" i="5" s="1"/>
  <c r="C133" i="5"/>
  <c r="O137" i="8"/>
  <c r="F136" i="8"/>
  <c r="D154" i="5"/>
  <c r="C155" i="5"/>
  <c r="D156" i="5"/>
  <c r="J80" i="5" s="1"/>
  <c r="C157" i="5"/>
  <c r="D152" i="5"/>
  <c r="J78" i="5" s="1"/>
  <c r="C153" i="5"/>
  <c r="D150" i="5"/>
  <c r="J77" i="5" s="1"/>
  <c r="C151" i="5"/>
  <c r="D148" i="5"/>
  <c r="J76" i="5" s="1"/>
  <c r="C149" i="5"/>
  <c r="D146" i="5"/>
  <c r="J75" i="5" s="1"/>
  <c r="C147" i="5"/>
  <c r="D144" i="5"/>
  <c r="J74" i="5" s="1"/>
  <c r="C145" i="5"/>
  <c r="D142" i="5"/>
  <c r="J73" i="5" s="1"/>
  <c r="C143" i="5"/>
  <c r="D140" i="5"/>
  <c r="J72" i="5" s="1"/>
  <c r="C141" i="5"/>
  <c r="C139" i="5"/>
  <c r="D138" i="5"/>
  <c r="J79" i="5" l="1"/>
  <c r="D193" i="5"/>
  <c r="J98" i="5" s="1"/>
  <c r="D175" i="5"/>
  <c r="J88" i="5" s="1"/>
  <c r="C178" i="5"/>
  <c r="C174" i="5"/>
  <c r="D171" i="5"/>
  <c r="J86" i="5" s="1"/>
  <c r="C170" i="5"/>
  <c r="I137" i="8" a="1"/>
  <c r="I137" i="8" s="1"/>
  <c r="D158" i="5" s="1"/>
  <c r="J81" i="5" s="1"/>
  <c r="C135" i="5"/>
  <c r="D134" i="5"/>
  <c r="I124" i="8"/>
  <c r="D136" i="5" s="1"/>
  <c r="J70" i="5" s="1"/>
  <c r="J71" i="5" s="1"/>
  <c r="I119" i="8"/>
  <c r="D130" i="5" s="1"/>
  <c r="J67" i="5" s="1"/>
  <c r="D128" i="5"/>
  <c r="I105" i="8"/>
  <c r="D116" i="5" s="1" a="1"/>
  <c r="D116" i="5" s="1"/>
  <c r="J60" i="5" s="1"/>
  <c r="I111" i="8"/>
  <c r="D124" i="5" s="1"/>
  <c r="J64" i="5" s="1"/>
  <c r="J66" i="5" l="1"/>
  <c r="J69" i="5"/>
  <c r="L92" i="5" a="1"/>
  <c r="L92" i="5" s="1"/>
  <c r="L82" i="5" a="1"/>
  <c r="L82" i="5" s="1"/>
  <c r="D126" i="5"/>
  <c r="J65" i="5" s="1"/>
  <c r="C127" i="5"/>
  <c r="N101" i="8"/>
  <c r="N92" i="8"/>
  <c r="N93" i="8"/>
  <c r="N94" i="8"/>
  <c r="N95" i="8"/>
  <c r="N96" i="8"/>
  <c r="N97" i="8"/>
  <c r="N98" i="8"/>
  <c r="N91" i="8"/>
  <c r="N7" i="8"/>
  <c r="D118" i="5"/>
  <c r="J61" i="5" s="1"/>
  <c r="C119" i="5"/>
  <c r="D120" i="5"/>
  <c r="J62" i="5" s="1"/>
  <c r="C121" i="5"/>
  <c r="D122" i="5"/>
  <c r="J63" i="5" s="1"/>
  <c r="C123" i="5"/>
  <c r="C115" i="5"/>
  <c r="D114" i="5"/>
  <c r="J59" i="5" s="1"/>
  <c r="D108" i="5"/>
  <c r="J55" i="5" s="1"/>
  <c r="C109" i="5"/>
  <c r="D104" i="5"/>
  <c r="J53" i="5" s="1"/>
  <c r="C105" i="5"/>
  <c r="D106" i="5"/>
  <c r="J54" i="5" s="1"/>
  <c r="C107" i="5"/>
  <c r="D98" i="5"/>
  <c r="J50" i="5" s="1"/>
  <c r="C99" i="5"/>
  <c r="D100" i="5"/>
  <c r="J51" i="5" s="1"/>
  <c r="C101" i="5"/>
  <c r="D102" i="5"/>
  <c r="J52" i="5" s="1"/>
  <c r="C103" i="5"/>
  <c r="D96" i="5"/>
  <c r="J49" i="5" s="1"/>
  <c r="C97" i="5"/>
  <c r="I91" i="8" l="1"/>
  <c r="D112" i="5" s="1"/>
  <c r="C95" i="5"/>
  <c r="C93" i="5"/>
  <c r="C91" i="5"/>
  <c r="D90" i="5"/>
  <c r="J46" i="5" s="1"/>
  <c r="C89" i="5"/>
  <c r="D88" i="5"/>
  <c r="J45" i="5" s="1"/>
  <c r="C87" i="5"/>
  <c r="D86" i="5"/>
  <c r="J44" i="5" s="1"/>
  <c r="C85" i="5"/>
  <c r="D84" i="5"/>
  <c r="J43" i="5" s="1"/>
  <c r="C83" i="5"/>
  <c r="D82" i="5"/>
  <c r="J42" i="5" s="1"/>
  <c r="N69" i="8"/>
  <c r="I62" i="8" s="1" a="1"/>
  <c r="I62" i="8" s="1"/>
  <c r="N56" i="8"/>
  <c r="N57" i="8"/>
  <c r="N58" i="8"/>
  <c r="N59" i="8"/>
  <c r="N60" i="8"/>
  <c r="N55" i="8"/>
  <c r="F54" i="8"/>
  <c r="F29" i="8"/>
  <c r="F11" i="8"/>
  <c r="F6" i="8"/>
  <c r="N46" i="8"/>
  <c r="N47" i="8"/>
  <c r="N48" i="8"/>
  <c r="N49" i="8"/>
  <c r="N50" i="8"/>
  <c r="N51" i="8"/>
  <c r="N52" i="8"/>
  <c r="N45" i="8"/>
  <c r="F44" i="8"/>
  <c r="F38" i="8"/>
  <c r="N42" i="8"/>
  <c r="N41" i="8"/>
  <c r="N40" i="8"/>
  <c r="N39" i="8"/>
  <c r="N36" i="8"/>
  <c r="N35" i="8"/>
  <c r="N34" i="8"/>
  <c r="N33" i="8"/>
  <c r="N32" i="8"/>
  <c r="N31" i="8"/>
  <c r="N30" i="8"/>
  <c r="J58" i="5" l="1"/>
  <c r="L55" i="5" s="1" a="1"/>
  <c r="L55" i="5" s="1"/>
  <c r="D80" i="5"/>
  <c r="J41" i="5" s="1"/>
  <c r="I54" i="8" a="1"/>
  <c r="I54" i="8" s="1"/>
  <c r="D78" i="5" s="1"/>
  <c r="J40" i="5" s="1"/>
  <c r="I38" i="8" a="1"/>
  <c r="I38" i="8" s="1"/>
  <c r="D74" i="5" s="1"/>
  <c r="J38" i="5" s="1"/>
  <c r="I44" i="8" a="1"/>
  <c r="I44" i="8" s="1"/>
  <c r="D76" i="5" s="1"/>
  <c r="J39" i="5" s="1"/>
  <c r="I29" i="8" a="1"/>
  <c r="I29" i="8" s="1"/>
  <c r="D72" i="5" s="1"/>
  <c r="J37" i="5" s="1"/>
  <c r="F23" i="8"/>
  <c r="I22" i="8" s="1" a="1"/>
  <c r="I22" i="8" s="1"/>
  <c r="N25" i="8"/>
  <c r="N26" i="8"/>
  <c r="N27" i="8"/>
  <c r="N24" i="8"/>
  <c r="N13" i="8"/>
  <c r="N14" i="8"/>
  <c r="N15" i="8"/>
  <c r="N16" i="8"/>
  <c r="N17" i="8"/>
  <c r="N18" i="8"/>
  <c r="N19" i="8"/>
  <c r="N20" i="8"/>
  <c r="N12" i="8"/>
  <c r="N8" i="8"/>
  <c r="G8" i="5"/>
  <c r="I6" i="8" l="1" a="1"/>
  <c r="I6" i="8" s="1"/>
  <c r="D66" i="5" s="1"/>
  <c r="J34" i="5" s="1"/>
  <c r="D68" i="5"/>
  <c r="J35" i="5" s="1"/>
  <c r="I24" i="8" a="1"/>
  <c r="I24" i="8" s="1"/>
  <c r="D70" i="5" s="1"/>
  <c r="J36" i="5" s="1"/>
  <c r="C65" i="5"/>
  <c r="D64" i="5"/>
  <c r="J33" i="5" s="1"/>
  <c r="L30" i="5" l="1" a="1"/>
  <c r="L30" i="5" s="1"/>
  <c r="L16" i="5" l="1" a="1"/>
  <c r="L16" i="5" s="1"/>
  <c r="A5" i="10" l="1" a="1"/>
  <c r="A5" i="1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<sst xmlns="http://schemas.openxmlformats.org/spreadsheetml/2006/main" count="648" uniqueCount="465">
  <si>
    <t>Il requisito dell’organizzazione dell’impresa</t>
  </si>
  <si>
    <t>1.1</t>
  </si>
  <si>
    <t>1.2</t>
  </si>
  <si>
    <t>1.3</t>
  </si>
  <si>
    <t>1.4</t>
  </si>
  <si>
    <t>1.5</t>
  </si>
  <si>
    <t>2</t>
  </si>
  <si>
    <t>Rilevazione della situazione contabile e dell’andamento corrente</t>
  </si>
  <si>
    <t>2.1</t>
  </si>
  <si>
    <t>2.2</t>
  </si>
  <si>
    <t>2.3</t>
  </si>
  <si>
    <t>2.4</t>
  </si>
  <si>
    <t>2.5</t>
  </si>
  <si>
    <t>2.6</t>
  </si>
  <si>
    <t>2.7</t>
  </si>
  <si>
    <t>2.8</t>
  </si>
  <si>
    <t>3</t>
  </si>
  <si>
    <t>3.3</t>
  </si>
  <si>
    <t>3.5</t>
  </si>
  <si>
    <t>3.7</t>
  </si>
  <si>
    <t>4.1</t>
  </si>
  <si>
    <t>4.1.1</t>
  </si>
  <si>
    <t>4.1.2</t>
  </si>
  <si>
    <t>4.1.3</t>
  </si>
  <si>
    <t>4.1.4</t>
  </si>
  <si>
    <t>4.1.5</t>
  </si>
  <si>
    <t>4.1.6</t>
  </si>
  <si>
    <t>4.1.7</t>
  </si>
  <si>
    <t>4.1.8</t>
  </si>
  <si>
    <t>4.1.9</t>
  </si>
  <si>
    <t>4.1.10</t>
  </si>
  <si>
    <t>4.2</t>
  </si>
  <si>
    <t>4.3</t>
  </si>
  <si>
    <t>4.3.1</t>
  </si>
  <si>
    <t>4.3.2</t>
  </si>
  <si>
    <t>4.5</t>
  </si>
  <si>
    <t>4.6</t>
  </si>
  <si>
    <t>4.7</t>
  </si>
  <si>
    <t>4.8</t>
  </si>
  <si>
    <t>4.8.1</t>
  </si>
  <si>
    <t>4.8.2</t>
  </si>
  <si>
    <t>4.10</t>
  </si>
  <si>
    <t>4.11</t>
  </si>
  <si>
    <t>4.11.1</t>
  </si>
  <si>
    <t>4.11.2</t>
  </si>
  <si>
    <t>4.11.3</t>
  </si>
  <si>
    <t>4.11.4</t>
  </si>
  <si>
    <t>4.12</t>
  </si>
  <si>
    <t>Il risanamento del debito</t>
  </si>
  <si>
    <t>5.1</t>
  </si>
  <si>
    <t>5.2</t>
  </si>
  <si>
    <t>5.3</t>
  </si>
  <si>
    <t>5.4</t>
  </si>
  <si>
    <t>5.5</t>
  </si>
  <si>
    <t>5.6</t>
  </si>
  <si>
    <t>6.1</t>
  </si>
  <si>
    <t>6.2</t>
  </si>
  <si>
    <t>6.3</t>
  </si>
  <si>
    <t>6.4</t>
  </si>
  <si>
    <t>6.5</t>
  </si>
  <si>
    <t>Le proiezioni dei flussi finanziari</t>
  </si>
  <si>
    <t>L’impresa ha predisposto un monitoraggio continuativo dell’andamento aziendale?</t>
  </si>
  <si>
    <t xml:space="preserve">L’impresa dispone delle capacità e delle competenze manageriali per realizzare le iniziative industriali?                                             </t>
  </si>
  <si>
    <t>Le proiezioni dei ricavi sono coerenti con i dati storici e quelli correnti?</t>
  </si>
  <si>
    <t>Il piano è redatto per le singole imprese?</t>
  </si>
  <si>
    <t>Il piano dà evidenza dei rapporti economici, finanziari e patrimoniali infragruppo?</t>
  </si>
  <si>
    <t>È stata svolta una verifica di ragionevolezza della redditività prospettica quale risulta dai paragrafi precedenti?</t>
  </si>
  <si>
    <t xml:space="preserve">L’impresa dispone delle risorse chiave (umane e tecniche) per la conduzione dell’attività? </t>
  </si>
  <si>
    <t>Tenuto conto delle manifestazioni sub 3.1, quali ne sono le cause?</t>
  </si>
  <si>
    <t>4.9</t>
  </si>
  <si>
    <t>Come l’imprenditore intende fronteggiare il debito che deve essere coperto nei diversi anni attraverso i flussi al servizio dello stesso?</t>
  </si>
  <si>
    <t>L’impresa dispone delle competenze tecniche occorrenti per le iniziative industriali che l’imprenditore intende adottare?</t>
  </si>
  <si>
    <t>L’impresa è in grado di stimare l’andamento gestionale anche ricorrendo ad indicatori chiave gestionali (KPI) che consentano valutazioni rapide in continuo?</t>
  </si>
  <si>
    <t xml:space="preserve">L’impresa dispone di una situazione contabile recante le rettifiche di competenza e gli assestamenti di chiusura, nel rispetto del principio contabile OIC 30, quanto più possibile aggiornata e comunque non anteriore di oltre 120 giorni?  </t>
  </si>
  <si>
    <t>È disponibile un prospetto recante le rimanenze di magazzino con i tempi di movimentazione che consenta di individuare le giacenze oggetto di lenta rotazione?</t>
  </si>
  <si>
    <t>3.1.1</t>
  </si>
  <si>
    <t>3.1.2</t>
  </si>
  <si>
    <t>Quali sono le manifestazioni esteriori di tale stato</t>
  </si>
  <si>
    <t>3.2.1</t>
  </si>
  <si>
    <t>3.2.2</t>
  </si>
  <si>
    <t>L’organo di controllo ed il revisore, quando in carica, ritengono che il quadro fornito dall’imprenditore sia completo e adeguato?</t>
  </si>
  <si>
    <t>3.4.1</t>
  </si>
  <si>
    <t>3.4.2</t>
  </si>
  <si>
    <t>3.4.3</t>
  </si>
  <si>
    <t>Quali sono i tempi e i relativi effetti in termini di ricavi, di costi e di investimenti delle iniziative da adottare?</t>
  </si>
  <si>
    <t>Quali sono le relative funzioni aziendali responsabili?</t>
  </si>
  <si>
    <t>3.6.1</t>
  </si>
  <si>
    <t>3.6.2</t>
  </si>
  <si>
    <t>3.8.1</t>
  </si>
  <si>
    <t>3.8.2</t>
  </si>
  <si>
    <t>3.8.3</t>
  </si>
  <si>
    <t xml:space="preserve">Il piano è coerente con i piani redatti in precedenza? </t>
  </si>
  <si>
    <t>In precedenza sono stati predisposti ulteriori piani?</t>
  </si>
  <si>
    <t>3.9.1</t>
  </si>
  <si>
    <t>3.9.2</t>
  </si>
  <si>
    <t>La stima delle proiezioni dei flussi finanziari del piano è, salvo deroghe giustificate dalla tipologia dell’impresa o dall’attività svolta, l’esito di un percorso che si dipana in ordinate fasi successive così articolate:</t>
  </si>
  <si>
    <t>Le variazioni dei ricavi del piano sono state confrontate con le prospettive del settore?</t>
  </si>
  <si>
    <t>4.4.1</t>
  </si>
  <si>
    <t xml:space="preserve">La stima dei costi variabili e dei costi di struttura è coerente con la situazione in atto e con i dati storici? </t>
  </si>
  <si>
    <t>Il piano tiene conto in misura adeguata degli investimenti di mantenimento occorrenti?</t>
  </si>
  <si>
    <t>La società svolge più attività?</t>
  </si>
  <si>
    <t>La redditività ed i principali indicatori chiave gestionali (KPI) prospettici, prima dell’effetto delle iniziative di cui al punto 4.7 della presente Sezione, sono coerenti con l’andamento storico?</t>
  </si>
  <si>
    <t>La determinazione dei flussi finanziari al servizio del debito deve essere effettuata muovendo dai dati economici. Essa può avere luogo:</t>
  </si>
  <si>
    <t>Sono stati dedotti dai flussi così determinati gli investimenti previsti (sia quelli di mantenimento che quellirelativi alle iniziative industriali) e il pagamento delle imposte?</t>
  </si>
  <si>
    <t>Sono state portate in conto l’effetto delle dismissioni di cespiti d’investimento e di altre operazioni straordinarie previste?</t>
  </si>
  <si>
    <t>L'impresa è considerata tra le micro e piccole imprese?</t>
  </si>
  <si>
    <t>Suggerimento</t>
  </si>
  <si>
    <t>L’impresa dispone delle risorse chiave (umane e tecniche) per la conduzione dell’attività.</t>
  </si>
  <si>
    <t>L’impresa come pensa di procurarsi tali risorse?</t>
  </si>
  <si>
    <t>L’impresa è in grado di predisporre un prospetto delle stime delle entrate e delle uscite finanziare almeno a 13 settimane, il cui scostamento con l’andamento corrente dovrà essere valutato a consuntivo?</t>
  </si>
  <si>
    <t>L'impresa intende quanto meno appostare con prudenza adeguati fondi rischi e fondi per l’adeguamento delle attività e delle passività?</t>
  </si>
  <si>
    <t>Frase VERO</t>
  </si>
  <si>
    <t>Frase FALSO</t>
  </si>
  <si>
    <t>Frase suggerimento per commenti in caso di risposta negativa</t>
  </si>
  <si>
    <t>Indicare le iniziative industriali per le quali l'impresa sia realisticamente in grado di disporre, eventualmente acquisendole sul mercato, delle competenze tecniche occorrenti:</t>
  </si>
  <si>
    <t>Indicare cosa intende fare per controllare la gestione</t>
  </si>
  <si>
    <t>L’impresa dispone di un piano di tesoreria a 12 mesi?</t>
  </si>
  <si>
    <t>La situazione debitoria è completa ed affidabile?</t>
  </si>
  <si>
    <t xml:space="preserve"> Il valore contabile dei cespiti è adeguato e non è inferiore al maggiore tra il valore recuperabile e quelli di mercato?   </t>
  </si>
  <si>
    <t>Quali sono le giacenze di magazzino a lenta rotazione?</t>
  </si>
  <si>
    <t>Esiste l'organo di controllo o il revisore legale?</t>
  </si>
  <si>
    <t>Frase suggerimento per commenti in caso di risposta positiva</t>
  </si>
  <si>
    <t>L’impresa non dispone delle risorse chiave (umane e tecniche) per la conduzione dell’attività.</t>
  </si>
  <si>
    <t>Aggiungere eventuali commenti</t>
  </si>
  <si>
    <t>Da un punto di vista tecnico/economico, l’impresa dispone delle competenze necessarie per le iniziative industriali che l’imprenditore intende adottare.</t>
  </si>
  <si>
    <t>Da un punto di vista tecnico/economico, l’impresa  non dispone delle competenze necessarie per le iniziative industriali che l’imprenditore intende adottare.</t>
  </si>
  <si>
    <t>Il sistema informativo aziendale prevede un adeguato sistema di monitoraggio continuo dell'andamento aziendale.</t>
  </si>
  <si>
    <t>Il monitoraggio dell'andamento aziendale appare inadeguato.</t>
  </si>
  <si>
    <t>Indicare quale controllo viene fatto e come si intende intervenire per migliorare il sistema di controllo.</t>
  </si>
  <si>
    <t>Descrivere facendo riferimento ai metodi utilizzati (BSC, BMC, KPI, ecc)</t>
  </si>
  <si>
    <t>Spiegare le motivazioni per le quali non è stato redatto un piano di tesoreria e come si intende rimuovere gli ostacoli.</t>
  </si>
  <si>
    <t>Spiegare le motivazioni per le quali non è stato redatto il prospetto e come si intende rimuovere gli ostacoli.</t>
  </si>
  <si>
    <t>La situazione è da considerarsi affidabile per quanto concerne la corretta rappresentazione della situazione debitoria dell'impresa.</t>
  </si>
  <si>
    <t>La situazione non è da considerarsi affidabile per quanto concerne la corretta rappresentazione della situazione debitoria dell'impresa.</t>
  </si>
  <si>
    <t>Non sono presenti minusvalenze latenti o potenziali insite nella valutazione dei cespiti.</t>
  </si>
  <si>
    <t>Il maggior contabile dei cespiti è superiore al valore di realizzo e a quello di mercato.</t>
  </si>
  <si>
    <t>L’impresa è in grado di individuare gli indicatori di produttività coerenti con il proprio modello di business ed il proprio settore di attività, e di raccogliere ulteriori informazioni per la valutazione dell’andamento tendenziale?</t>
  </si>
  <si>
    <t xml:space="preserve">I crediti commerciali sono suddivisibili in relazione alla loro anzianità? </t>
  </si>
  <si>
    <t>Per gli scaduti che superano la fisiologia (tempi ordinari di pagamento, pur oltre la scadenza contrattuale, che caratterizzano il settore), la stima del momento dell’incasso è particolarmente prudente?</t>
  </si>
  <si>
    <t xml:space="preserve">È disponibile un prospetto recante l’anzianità dei crediti commerciali? </t>
  </si>
  <si>
    <t>Per gli scaduti che superano la fisiologia (tempi ordinari di pagamento, pur oltre la scadenza contrattuale, che caratterizzano il settore), la stima del momento dell’incasso è particolarmente prudente.</t>
  </si>
  <si>
    <t>È disponibile un prospetto recante le rimanenze di magazzino con i tempi di movimentazione che consenta di individuare le giacenze oggetto di lenta rotazione.</t>
  </si>
  <si>
    <t>Il prospetto comprende le cause del ritardo di incasso tale da consentire una valutazione oggettiva dei rischi di perdite sui crediti e una stima prudente dei tempi di incasso?</t>
  </si>
  <si>
    <t>La funzione amministrativa dispone di un prospetto recante l’anzianità dei crediti commerciali e</t>
  </si>
  <si>
    <t>le cause del ritardo di incasso tale da consentire una valutazione oggettiva dei rischi di perdite sui crediti e una stima prudente dei tempi di incasso.</t>
  </si>
  <si>
    <t>, non sono state analizzate le cause del ritardo di incasso tale da consentire una valutazione oggettiva dei rischi di perdite sui crediti e una stima prudente dei tempi di incasso.</t>
  </si>
  <si>
    <t>Indicare le cause che impediscono un'affidabilità della situazione debitoria.</t>
  </si>
  <si>
    <t>Indicare eventuali interventi in termini di credit management</t>
  </si>
  <si>
    <t>Per gli scaduti che superano la fisiologia (tempi ordinari di pagamento, pur oltre la scadenza contrattuale, che caratterizzano il settore), la stima del momento dell’incasso non è da considerarsi sufficientemente prudente.</t>
  </si>
  <si>
    <t>Quali elementi non sono valutati con la dovuta prudenza?</t>
  </si>
  <si>
    <t>Non è stato redatto alcun prospetto recante le rimanenze di magazzino con i tempi di movimentazione che consenta di individuare le giacenze oggetto di lenta rotazione.</t>
  </si>
  <si>
    <t>Indicare le cause e gli interventi in merito</t>
  </si>
  <si>
    <t>Viene esaminata periodicamente la Centrale Rischi di Banca d'Italia?</t>
  </si>
  <si>
    <t>È disponibile un prospetto di riconciliazione tra la contabilità e quanto risultante dal certificato unico dei debiti tributari,dalla situazione debitoria complessiva dell’Agente della Riscossione?</t>
  </si>
  <si>
    <t>È disponibile un prospetto di riconciliazione tra la contabilità e quanto risultante dal certificato per debiti contributivi e assicurativi?</t>
  </si>
  <si>
    <t>È disponibile un prospetto di riconciliazione tra la contabilità e quanto risultante dalla Centrale Rischi?</t>
  </si>
  <si>
    <t xml:space="preserve">Si è tenuto adeguatamente conto dei rischi di passività potenziali? </t>
  </si>
  <si>
    <t>Individuazione delle strategie di intervento atte a prevenire e rimuovere le cause della crisi</t>
  </si>
  <si>
    <t>Indicare le differenze significative.</t>
  </si>
  <si>
    <t>La Centrale rischi di Banca D'Italia viene esaminata periodicamente e</t>
  </si>
  <si>
    <t>La Centrale rischi di Banca D'Italia non viene esaminata periodicamente e</t>
  </si>
  <si>
    <t>Il sistema di controllo dei rischi tiene conto anche delle passività potenziali.</t>
  </si>
  <si>
    <t>L’azienda non ha tenuto conto delle passività potenziali.</t>
  </si>
  <si>
    <t>Di che entità sono eventuali passività potenziali?</t>
  </si>
  <si>
    <t>Non esistono rischi derivanti dalle garanzie concesse?</t>
  </si>
  <si>
    <t>Per quanto concerne le garanzie concesse a terzi non si evidenziano rischi meritevoli di menzione.</t>
  </si>
  <si>
    <t>Esistono rilevanti rischi per garanzie concesse a terzi.</t>
  </si>
  <si>
    <t>Descrivere e precisare se ne è stato tenuto conto a livello di fondi rischi.</t>
  </si>
  <si>
    <t>Non è stato nominato l'organo di controllo o il revisore legale.</t>
  </si>
  <si>
    <t>L'organo di controllo o il revisore legale è composto da</t>
  </si>
  <si>
    <t>Indicare i nominativi e eventuali</t>
  </si>
  <si>
    <t>Chiarire le ragioni.</t>
  </si>
  <si>
    <t>L’imprenditore non percepisce uno stato di crisi o uno squilibrio patrimoniale o economico-finanziario che la rende probabile?</t>
  </si>
  <si>
    <t xml:space="preserve">Aggiungere eventuali commenti </t>
  </si>
  <si>
    <t>Frase Completa</t>
  </si>
  <si>
    <t>EBITDA</t>
  </si>
  <si>
    <t>Si sono verificati i seguenti eventi.</t>
  </si>
  <si>
    <t>Da un punto di vista commerciale</t>
  </si>
  <si>
    <t xml:space="preserve">L'impresa ha individuato le strategie di intervento e le iniziative industriali che intende adottare? </t>
  </si>
  <si>
    <t>Le strategie di successo adottate dalla concorrenza sono adottabili dall'impresa?</t>
  </si>
  <si>
    <t xml:space="preserve">Le strategie di intervento e le iniziative industriali individuate dall’imprenditore appaiono appropriate per il superamento delle cause della crisi? </t>
  </si>
  <si>
    <t>Metodologia di stima dei costi variabili correlati ai ricavi e dei costi fissi.</t>
  </si>
  <si>
    <t>Le variazioni dei ricavi prospettici rispetto al dato corrente dell’esercizio in corso sono state giustificate in maniera adeguata?</t>
  </si>
  <si>
    <t>Nella stima del pagamento delle  imposte si è tenuto conto dell’effetto delle perdite fiscali a nuovo e del periodo di imputazione fiscale dei costi e dei ricavi?</t>
  </si>
  <si>
    <t xml:space="preserve">A quanto ammonta il debito che deve essere servito nei singoli anni del piano? </t>
  </si>
  <si>
    <t>economico</t>
  </si>
  <si>
    <t>patrimoniale</t>
  </si>
  <si>
    <t>finanziario</t>
  </si>
  <si>
    <t xml:space="preserve">Sono peggiorati rispetto all'anno precedente i seguenti indicatori: </t>
  </si>
  <si>
    <t xml:space="preserve">lo squilibrio percepito è di carattere: </t>
  </si>
  <si>
    <t>mancati rilevanti pagamenti a fornitori</t>
  </si>
  <si>
    <t>significativa rinegoziazione delle condizioni di pagamento</t>
  </si>
  <si>
    <t>pagamento di penali rilevanti per mancate consegne</t>
  </si>
  <si>
    <t>svendite rilevanti di materiale</t>
  </si>
  <si>
    <t>Indicare eventuali altri eventi</t>
  </si>
  <si>
    <t>segnalazioni inframensili negative</t>
  </si>
  <si>
    <t>sofferenze</t>
  </si>
  <si>
    <t>sconfini rilevanti entro i 90 giorni</t>
  </si>
  <si>
    <t>sconfini oltre i 90 giorni</t>
  </si>
  <si>
    <t>escussione di garanzie di terzi</t>
  </si>
  <si>
    <t>escussione di nostre garanzie a terzi</t>
  </si>
  <si>
    <t>aumento anomalo dei crediti impagati</t>
  </si>
  <si>
    <t xml:space="preserve">Da un punto di vista gestionale si segnala </t>
  </si>
  <si>
    <t>la perdita di membri della direzione con responsabilità strategiche senza una loro sostituzione</t>
  </si>
  <si>
    <t>la perdita di clienti o commesse importanti</t>
  </si>
  <si>
    <t>altro (specificare)</t>
  </si>
  <si>
    <t>Indicare eventuali altri fatti gestionali meritevoli di attenzione</t>
  </si>
  <si>
    <t>Indicare altri eventi derivanti dalla crisi</t>
  </si>
  <si>
    <t>fornitori di beni e servizi indispensabili</t>
  </si>
  <si>
    <t>imposte dirette ires - irap (saldi e acconti)</t>
  </si>
  <si>
    <t>erario per ritenute fiscali</t>
  </si>
  <si>
    <t>ritenute previdenziali</t>
  </si>
  <si>
    <t>iva</t>
  </si>
  <si>
    <t>altre imposte</t>
  </si>
  <si>
    <t>dipendenti</t>
  </si>
  <si>
    <t xml:space="preserve">Sul lato delle iniziative dei creditori si segnalano </t>
  </si>
  <si>
    <t>decreti ingiuntivi ricevuti ed atti di ricognitivi di avvio di azioni per il recupero dei crediti</t>
  </si>
  <si>
    <t>protesto di assegni e cambiali</t>
  </si>
  <si>
    <t>istanze di fallimento avanzate da creditori aziendali</t>
  </si>
  <si>
    <t>default/fallimento dei garanti e default/fallimento dei garantiti (rischio infragruppo)</t>
  </si>
  <si>
    <t>intenzione della direzione di liquidare l’impresa o di cessare le attività</t>
  </si>
  <si>
    <t>Ulteriori commenti</t>
  </si>
  <si>
    <t>fornitori di beni e servizi non indispensabili</t>
  </si>
  <si>
    <t>Indicare altre eventi iniziative</t>
  </si>
  <si>
    <t>Nei rapporti con le banche</t>
  </si>
  <si>
    <t>controversie rilevanti con il personale</t>
  </si>
  <si>
    <t>comparsa di concorrenti ostili e/o nuovi entranti che rischiano di ridurre ulteriormente le quote di mercato</t>
  </si>
  <si>
    <t>iscrizioni di ipoteche giudiziarie, pegni e forme tecniche di prelazione su beni aziendali</t>
  </si>
  <si>
    <t xml:space="preserve">La situazione di difficoltà descritta ha causato un debito da ristrutturare (per mancati pagamenti e/o richieste di rientro) per </t>
  </si>
  <si>
    <t>riduzione degli investimenti e aggiornamento tecnologico</t>
  </si>
  <si>
    <t>riduzione della competività sul mercato</t>
  </si>
  <si>
    <t>Ulteriori cause</t>
  </si>
  <si>
    <t>Indicare le ragioni</t>
  </si>
  <si>
    <t>Quali strategie e quali iniziative?</t>
  </si>
  <si>
    <t>Il piano è coerente con i piani redatti in precedenza</t>
  </si>
  <si>
    <t>Esistono strategie di successo adottate dalla concorrenza?</t>
  </si>
  <si>
    <t>Quali strategie?</t>
  </si>
  <si>
    <t>Indicare le motivazioni</t>
  </si>
  <si>
    <t>Vi sono differenze significative con i piani precedenti?</t>
  </si>
  <si>
    <t>Quali capacità e competenze?</t>
  </si>
  <si>
    <t>Sono prospettabili iniziative alternative nel caso in cui le iniziative dovessero dimostrarsi inefficaci e si manifestassero scostamenti tra gli obiettivi pianificati e quelli raggiunti?</t>
  </si>
  <si>
    <t>Quali iniziative alternative?</t>
  </si>
  <si>
    <t>Il piano non è coerente con i piani redatti in precedenza</t>
  </si>
  <si>
    <t>Tali differenze a cosa sono dovute?</t>
  </si>
  <si>
    <t>Il piano appare credibile?</t>
  </si>
  <si>
    <t>Il piano è fondato su intenzioni strategiche chiare e razionali, condivisibili da parte di un lettore informato quale è l’esperto, coerenti con la situazione di fatto dell’impresa e del contesto in cui opera?</t>
  </si>
  <si>
    <t>3.9.3</t>
  </si>
  <si>
    <t>Le proiezioni fondate su previsioni coprono un periodo massimo di 5 anni a meno che un arco temporale superiore sia giustificato?</t>
  </si>
  <si>
    <t>Indicare le ragioni dell'arco temporale superiore</t>
  </si>
  <si>
    <t>Giustificarle</t>
  </si>
  <si>
    <t>Indicare la stima dei ricavi</t>
  </si>
  <si>
    <t xml:space="preserve">Quali sono i risparmi dei costi variabili e fissi? </t>
  </si>
  <si>
    <t>Indicare i risparmi e come l’imprenditore intende conseguirli</t>
  </si>
  <si>
    <t>Quali sono i possibili rischi che derivano dai risparmi di costo?</t>
  </si>
  <si>
    <t>Indicare i rischi e come intende mitigarli l’imprenditore</t>
  </si>
  <si>
    <t>Indicare la metodologia di stima dei costi variabili e dei costi fissi</t>
  </si>
  <si>
    <t>Indicare la metodologia di stima degli investimenti</t>
  </si>
  <si>
    <t>Indicare la metodologia di stima degli effetti delle iniziative industriali che si intendono intraprendere in discontinuità rispetto al passato</t>
  </si>
  <si>
    <t>Quale verifica?</t>
  </si>
  <si>
    <t>La stima degli effetti delle iniziative industriali che l’imprenditore intende intraprendere (in termini di investimenti, ricavi e costi) è coerente con le informazioni disponibili ed è ritenuta giustificata dalle diverse funzioni aziendali?</t>
  </si>
  <si>
    <t>È giustificata ogni differenza tra l’incidenza del margine operativo lordo sui ricavi, anche a seguito delle iniziative di cui al punto 4.7 della presente Sezione, ed i benchmark di mercato disponibili?</t>
  </si>
  <si>
    <t>Qual'è l'effetto delle operazioni straordinarie</t>
  </si>
  <si>
    <t>È stata prevista la dismissione di cespiti d'investimento?</t>
  </si>
  <si>
    <t>Indicare se si è tenuto conto delle effettive prospettive di realizzo in termini di ammonrtare (al netto dei costi di dismissione) e tempi e indicare se le relative stime sono adeguatamente suffragate</t>
  </si>
  <si>
    <t>È stato stimato il pagamento delle imposte sul reddito</t>
  </si>
  <si>
    <t>I tempi sono coerenti con la serie storica dell’impresa?</t>
  </si>
  <si>
    <t>Attraverso il ciclo di conversione in flussi di cassa che tiene conto dei tempi di incasso dei ricavi, di pagamento dei costi e di rigiro del magazzino</t>
  </si>
  <si>
    <t>L'impresa ha verificato che l’ammontare degli investimenti di mantenimento sia adeguatamente espresso dagli
ammortamenti (portando una rettifica in caso contrario)?</t>
  </si>
  <si>
    <t>L'impresa considera l’effetto delle iniziative industriali previste?</t>
  </si>
  <si>
    <t>L'impresa tiene conto della dismissione di cespiti e delle operazioni straordinarie programmate?</t>
  </si>
  <si>
    <t>L’impresa, alla luce del par. 4 della presente Sezione, è in grado in futuro di generare risorse al servizio del debito?</t>
  </si>
  <si>
    <t>Il risultato delle proiezioni finanziarie di cui al punto 4.10 della presente Sezione tende ad essere positivo?</t>
  </si>
  <si>
    <t>Tali prove sono coerenti con i rischi emersi ad esito dell’intervista delle diverse funzioni aziendali avendo comunque riguardo alle prospettive di mercato?</t>
  </si>
  <si>
    <t>Il piano tiene conto, anche attraverso prove di resistenza (stress test), dei fattori di rischio e di incertezza ai quali è maggiormente esposta l’impresa?</t>
  </si>
  <si>
    <t>La generazione di flussi positivi al servizio del debito dipende solo dalle iniziative industriali?</t>
  </si>
  <si>
    <t>indicare come l'imprenditore intende fronteggiare</t>
  </si>
  <si>
    <t>Le proposte consentono, in via prognostica, il rispetto del minimo legale del capitale sociale al momento della conclusione dell’accordo, fatte salve le disposizioni speciali?</t>
  </si>
  <si>
    <t>Vi sono altre imprese del gruppo che presentano difficoltà economico-finanziarie o patrimoniali? Come siintende agire per affrontarle?</t>
  </si>
  <si>
    <t>Vi sono altre imprese del gruppo che presentano difficoltà economico-finanziarie o patrimoniali?</t>
  </si>
  <si>
    <t>Non vi sono altre imprese del gruppo che presentano difficoltà economico-finanziarie o patrimoniali?</t>
  </si>
  <si>
    <t>Come si intende agire per affrontarle?</t>
  </si>
  <si>
    <t>indicare come l'imprenditore intende affrontarle</t>
  </si>
  <si>
    <t>indicare quali sono le altre imprese del gruppo la cui continuità aziendale dipende da quella dell'impresa</t>
  </si>
  <si>
    <t>Le operazioni infragruppo previste nel piano possono arrecare un pregiudizio per i creditori di un’altra impresa del gruppo?</t>
  </si>
  <si>
    <t>SEZIONE 1-2</t>
  </si>
  <si>
    <t>SEZIONE 3-4</t>
  </si>
  <si>
    <t>riduzione della redditività</t>
  </si>
  <si>
    <t>riduzione dei flussi di cassa</t>
  </si>
  <si>
    <t>SEZIONE 5-6</t>
  </si>
  <si>
    <t>RELAZIONE FINALE</t>
  </si>
  <si>
    <t>Ulteriori Commenti</t>
  </si>
  <si>
    <t>Indicare le differenze significative</t>
  </si>
  <si>
    <t>I ricavi sono costantemente monitorati.</t>
  </si>
  <si>
    <t>Gli ordini sono costantemente monitorati.</t>
  </si>
  <si>
    <t>La posizione finanziaria netta è costantemente monitorata.</t>
  </si>
  <si>
    <t>I ricavi non sono controllati in maniera adeguata.</t>
  </si>
  <si>
    <t>Gli ordini non sono controllati in maniera adeguata.</t>
  </si>
  <si>
    <t>La posizione finanziaria netta non è costantemente monitorata.</t>
  </si>
  <si>
    <t>I crediti sono suddivisibili in base alla loro anzianità.</t>
  </si>
  <si>
    <t>Non vi sono informazioni sufficienti per suddividere i crediti in base all'anzianità.</t>
  </si>
  <si>
    <t>È in grado di predisporre un prospetto delle stime delle entrate e delle uscite finanziare almeno a 13 settimane, il cui scostamento con l’andamento corrente dovrà essere valutato a consuntivo.</t>
  </si>
  <si>
    <t>Non è in grado di predisporre un prospetto delle stime delle entrate e delle uscite finanziare almeno a 13 settimane, il cui scostamento con l’andamento corrente dovrà essere valutato a consuntivo.</t>
  </si>
  <si>
    <t>L'impresa dispone di un prospetto di riconciliazione tra la contabilità e quanto risultante dal certificato unico dei debiti tributari, dalla situazione debitoria complessiva dell’Agente della Riscossione.</t>
  </si>
  <si>
    <t>L'impresa non ha redatto un prospetto di riconciliazione tra la contabilità e quanto risultante dal certificato unico dei debiti tributari, dalla situazione debitoria complessiva dell’Agente della Riscossione.</t>
  </si>
  <si>
    <t>Ha redatto un prospetto di riconciliazione tra la contabilità e quanto risultante dal certificato unico dei debiti contributivi e assicurativi</t>
  </si>
  <si>
    <t>Non ha compilato un prospetto di riconciliazione tra la contabilità e quanto risultante dal certificato unico dei debiti contributivi e assicurativi</t>
  </si>
  <si>
    <t>Indicare se e quando intende adottare i KPI, quale metodologia intende adottare (BSC, BMC, KPI, ecc) e  quali controlli avvengono per misurare la produttività aziendale.</t>
  </si>
  <si>
    <t>L'impresa ha altresì introdotto un sistema di KPI che consentono valutazioni rapide e continue,</t>
  </si>
  <si>
    <t>L'impresa non fa ancora ricorso a KPI che consentono valutazioni rapide e continue,</t>
  </si>
  <si>
    <t>è in grado di individuare gli indicatori di produttività coerenti con il proprio modello di business ed il proprio settore di attività, e di raccogliere ulteriori informazioni per la valutazione dell’andamento tendenziale.</t>
  </si>
  <si>
    <t>non è in grado di individuare gli indicatori di produttività coerenti con il proprio modello di business ed il proprio settore di attività, e di raccogliere ulteriori informazioni per la valutazione dell’andamento tendenziale.</t>
  </si>
  <si>
    <t>L'impresa non dispone di un piano di tesoreria a 12 mesi.</t>
  </si>
  <si>
    <t xml:space="preserve">L'impresa dispone di un piano di tesoreria a 12 mesi, </t>
  </si>
  <si>
    <t>riconciliata con la contabilità.</t>
  </si>
  <si>
    <t>non riconciliata con la contabilità.</t>
  </si>
  <si>
    <t>L’assetto contabile, amministrativo e contabile non ha rilevato elementi tali da far percepire uno stato di crisi o di squilibrio patrimoniale e/o economico finanziario.</t>
  </si>
  <si>
    <t>Esistono alcune evidenze tali da far presagire uno stato di crisi e o uno squilibrio economico patrimoniale.</t>
  </si>
  <si>
    <t>fatturato</t>
  </si>
  <si>
    <t>margine di contribuzione</t>
  </si>
  <si>
    <t>margine di contribuzione %</t>
  </si>
  <si>
    <t>risultato ante imposte</t>
  </si>
  <si>
    <t>grado di indipendenza finanziaria (PN/Totale Attivo)</t>
  </si>
  <si>
    <t>incidenza delle passività a breve</t>
  </si>
  <si>
    <t>capitale circolante netto</t>
  </si>
  <si>
    <t>posizione finanziaria netta</t>
  </si>
  <si>
    <t>copertura delle immobilizzazioni</t>
  </si>
  <si>
    <t>L’organo di controllo ed il revisore, quando in carica, ritengono che il quadro fornito dall’imprenditore sia completo e adeguato.</t>
  </si>
  <si>
    <t>L’organo di controllo ed il revisore, quando in carica, non ritengono che il quadro fornito dall’imprenditore sia completo e adeguato.</t>
  </si>
  <si>
    <t>L'impresa ha individuato le strategie di intervento e le iniziative industriali che intende adottare.</t>
  </si>
  <si>
    <t>Esistono strategie di successo adottate dalla concorrenza.</t>
  </si>
  <si>
    <t>Non esistono strategie di successo adottate dalla concorrenza.</t>
  </si>
  <si>
    <t>Tali strategie sono adottabili dall'impresa.</t>
  </si>
  <si>
    <t>Tali strategie non sono adottabili dall'impresa.</t>
  </si>
  <si>
    <t>L’impresa dispone delle capacità e delle competenze manageriali per realizzare le iniziative industriali.</t>
  </si>
  <si>
    <t>L’impresa non dispone delle capacità e delle competenze manageriali per realizzare le iniziative industriali.</t>
  </si>
  <si>
    <t>In precedenza sono stati predisposti ulteriori piani.</t>
  </si>
  <si>
    <t>Il piano appare credibile.</t>
  </si>
  <si>
    <t>Il piano non appare credibile.</t>
  </si>
  <si>
    <t>È fondato su intenzioni strategiche chiare e razionali, condivisibili da parte di un lettore informato quale è l’esperto, coerenti con la situazione di fatto dell’impresa e del contesto in cui opera.</t>
  </si>
  <si>
    <t>Non è fondato su intenzioni strategiche chiare e razionali, condivisibili da parte di un lettore informato quale è l’esperto, coerenti con la situazione di fatto dell’impresa e del contesto in cui opera.</t>
  </si>
  <si>
    <t>Le strategie di intervento e le iniziative industriali individuate dall’imprenditore appaiono appropriate per il superamento delle cause della crisi.</t>
  </si>
  <si>
    <t>Le strategie di intervento e le iniziative industriali individuate dall’imprenditore non appaiono appropriate per il superamento delle cause della crisi.</t>
  </si>
  <si>
    <t>e vi sono differenze significative.</t>
  </si>
  <si>
    <t>e non vi sono differenze significative.</t>
  </si>
  <si>
    <t>Le proiezioni fondate su previsioni coprono un periodo massimo di 5 anni.</t>
  </si>
  <si>
    <t>Le proiezioni fondate su previsioni non coprono un periodo massimo di 5 anni.</t>
  </si>
  <si>
    <t>Le proiezioni dei ricavi sono coerenti con i dati storici e quelli correnti.</t>
  </si>
  <si>
    <t>Le proiezioni dei ricavi non sono coerenti con i dati storici e quelli correnti.</t>
  </si>
  <si>
    <t>Le variazioni dei ricavi prospettici rispetto al dato corrente dell’esercizio in corso sono state giustificate in maniera adeguata.</t>
  </si>
  <si>
    <t>Le variazioni dei ricavi del piano sono state confrontate con le prospettive del settore.</t>
  </si>
  <si>
    <t>Le variazioni dei ricavi del piano non sono state confrontate con le prospettive del settore.</t>
  </si>
  <si>
    <t>La stima dei costi variabili e dei costi di struttura è coerente con la situazione in atto e con i dati storici.</t>
  </si>
  <si>
    <t>La stima dei costi variabili e dei costi di struttura non è coerente con la situazione in atto e con i dati storici.</t>
  </si>
  <si>
    <t>La società svolge più attività.</t>
  </si>
  <si>
    <t>La società non svolge più attività.</t>
  </si>
  <si>
    <t>Il piano tiene conto in misura adeguata degli investimenti di mantenimento occorrenti.</t>
  </si>
  <si>
    <t>Il piano non tiene conto in misura adeguata degli investimenti di mantenimento occorrenti.</t>
  </si>
  <si>
    <t>I dati economici prognostici sono coerenti.</t>
  </si>
  <si>
    <t>I dati economici prognostici non sono coerenti.</t>
  </si>
  <si>
    <t>È stata svolta una verifica di ragionevolezza della redditività prospettica quale risulta dai paragrafi precedenti.</t>
  </si>
  <si>
    <t>Non è stata svolta una verifica di ragionevolezza della redditività prospettica quale risulta dai paragrafi precedenti.</t>
  </si>
  <si>
    <t>La redditività ed i principali indicatori chiave gestionali (KPI) prospettici sono coerenti con l’andamento storico.</t>
  </si>
  <si>
    <t>La redditività ed i principali indicatori chiave gestionali (KPI) prospettici non sono coerenti con l’andamento storico.</t>
  </si>
  <si>
    <t>È giustificata ogni differenza tra l’incidenza del margine operativo lordo sui ricavi ed i benchmark di mercato disponibili.</t>
  </si>
  <si>
    <t>Non è giustificata ogni differenza tra l’incidenza del margine operativo lordo sui ricavi ed i benchmark di mercato disponibili.</t>
  </si>
  <si>
    <t>Sono previste operazioni straordinarie.</t>
  </si>
  <si>
    <t>Non sono previste operazioni straordinarie.</t>
  </si>
  <si>
    <t>È stata prevista la dismissione di cespiti d'investimento.</t>
  </si>
  <si>
    <t>Non è stata prevista la dismissione di cespiti d'investimento.</t>
  </si>
  <si>
    <t>È stato stimato il pagamento delle imposte sul reddito.</t>
  </si>
  <si>
    <t>Non è stato stimato il pagamento delle imposte sul reddito.</t>
  </si>
  <si>
    <t>Nella stima del pagamento delle imposte si è tenuto conto dell’effetto delle perdite fiscali a nuovo e del periodo di imputazione fiscale dei costi e dei ricavi.</t>
  </si>
  <si>
    <t>Nella stima del pagamento delle imposte non si è tenuto conto dell’effetto delle perdite fiscali a nuovo e del periodo di imputazione fiscale dei costi e dei ricavi.</t>
  </si>
  <si>
    <t>È presente declinazione finanziaria delle grandezze economiche e determinazione dei flussi al servizio del debito.</t>
  </si>
  <si>
    <t>Non è presente declinazione finanziaria delle grandezze economiche e determinazione dei flussi al servizio del debito.</t>
  </si>
  <si>
    <t>L'impresa ha determinato le grandezze patrimoniali.</t>
  </si>
  <si>
    <t>L'impresa non ha determinato le grandezze patrimoniali.</t>
  </si>
  <si>
    <t>stima dei ricavi</t>
  </si>
  <si>
    <t>stima dei costi variabili correlati ai ricavi</t>
  </si>
  <si>
    <t>stima dei costi fissi</t>
  </si>
  <si>
    <t>stima degli investimenti</t>
  </si>
  <si>
    <t>stima degli effetti delle iniziative industriali che si intendono intraprendere in discontinuità rispetto al passato</t>
  </si>
  <si>
    <t>verifica di coerenza dei dati economici prognostici</t>
  </si>
  <si>
    <t>stima del pagamento delle imposte sul reddito</t>
  </si>
  <si>
    <t>declinazione finanziaria delle grandezze economiche e determinazione dei flussi al servizio del debito</t>
  </si>
  <si>
    <t>declinazione patrimoniale muovendo dalla situazione contabile di partenza</t>
  </si>
  <si>
    <t>Metodologia di stima degli investimenti</t>
  </si>
  <si>
    <t>Metodologia di stima degli effetti delle iniziative industriali che si intendono intraprendere in discontinuità rispetto al passato</t>
  </si>
  <si>
    <t>I dati economici prognostici sono coerenti?</t>
  </si>
  <si>
    <t>La  stima degli effetti di tali iniziative (in termini di investimenti, ricavi e costi) è coerente con le informazioni disponibili ed è ritenuta giustificata dalle diverse funzioni aziendali.</t>
  </si>
  <si>
    <t>La  stima degli effetti di tali iniziative (in termini di investimenti, ricavi e costi) non è coerente con le informazioni disponibili ed è ritenuta giustificata dalle diverse funzioni aziendali.</t>
  </si>
  <si>
    <t>L’impresa è in grado in futuro di generare risorse al servizio del debito.</t>
  </si>
  <si>
    <t>L’impresa non è in grado in futuro di generare risorse al servizio del debito.</t>
  </si>
  <si>
    <t>Il risultato delle proiezioni finanziarie tende ad essere positivo.</t>
  </si>
  <si>
    <t>Il risultato delle proiezioni finanziarie tende ad essere negativo.</t>
  </si>
  <si>
    <t>Il piano tiene conto, anche attraverso prove di resistenza (stress test), dei fattori di rischio e di incertezza ai quali è maggiormente esposta l’impresa.</t>
  </si>
  <si>
    <t>Il piano non tiene conto, anche attraverso prove di resistenza (stress test), dei fattori di rischio e di incertezza ai quali è maggiormente esposta l’impresa.</t>
  </si>
  <si>
    <t>La generazione di flussi positivi al servizio del debito dipende solo dalle iniziative industriali.</t>
  </si>
  <si>
    <t>La generazione di flussi positivi al servizio del debito non dipende solo dalle iniziative industriali.</t>
  </si>
  <si>
    <t>Le proposte consentono, in via prognostica, il rispetto del minimo legale del capitale sociale al momento della conclusione dell’accordo, fatte salve le disposizioni speciali.</t>
  </si>
  <si>
    <t>Le proposte non consentono, in via prognostica, il rispetto del minimo legale del capitale sociale al momento della conclusione dell’accordo, fatte salve le disposizioni speciali.</t>
  </si>
  <si>
    <t>Il piano è redatto per le singole imprese.</t>
  </si>
  <si>
    <t>Il piano non dà evidenza dei rapporti economici, finanziari e patrimoniali infragruppo.</t>
  </si>
  <si>
    <t>Il piano dà evidenza dei rapporti economici, finanziari e patrimoniali infragruppo.</t>
  </si>
  <si>
    <t>Le operazioni infragruppo previste nel piano possono arrecare un pregiudizio per i creditori di un’altra impresa del gruppo.</t>
  </si>
  <si>
    <t>Le operazioni infragruppo previste nel piano non possono arrecare un pregiudizio per i creditori di un’altra impresa del gruppo.</t>
  </si>
  <si>
    <t>In caso di gruppi di imprese</t>
  </si>
  <si>
    <t>Sono disponibili informazioni sull'andamento corrente in termini di ricavi, portafoglio ordini, costi e flussi finanziari?</t>
  </si>
  <si>
    <t>È disponibile un confronto con lo stesso periodo del precedente esercizio?</t>
  </si>
  <si>
    <t>Sono disponibili informazioni sull'andamento corrente in termini di ricavi, portafoglio ordini, costi e flussi finanziari.</t>
  </si>
  <si>
    <t>Non sono disponibili informazioni sull'andamento corrente in termini di ricavi, portafoglio ordini, costi e flussi finanziari.</t>
  </si>
  <si>
    <t>È disponibile un confronto con lo stesso periodo del precedente esercizio.</t>
  </si>
  <si>
    <t>Quali informazioni?</t>
  </si>
  <si>
    <t>Che tipo di confronto?</t>
  </si>
  <si>
    <t>Le cause individuate sono coerenti con la crisi manifestatasi.</t>
  </si>
  <si>
    <t>Indicare i tempi e i relativi effetti in termini di ricavi, di costi e di invesgtimenti delle iniziative da adottare</t>
  </si>
  <si>
    <t>Indicare quali sono le relative funzioni aziendali responsabili</t>
  </si>
  <si>
    <t>Sono prospettabili iniziative alternative nel caso in cui le iniziative dovessero dimostrarsi inefficaci e si manifestassero scostamenti tra gli obiettivi pianificati e quelli raggiunti.</t>
  </si>
  <si>
    <t>Non sono prospettabili iniziative alternative nel caso in cui le iniziative dovessero dimostrarsi inefficaci e si manifestassero scostamenti tra gli obiettivi pianificati e quelli raggiunti.</t>
  </si>
  <si>
    <t>I ricavi sono stati stimati nel seguente modo</t>
  </si>
  <si>
    <t>Sono previste operazioni straordinarie?</t>
  </si>
  <si>
    <t>È presente una declinazione finanziaria delle grandezze economiche e determinazione dei flussi al servizio del debito?</t>
  </si>
  <si>
    <t>Indicare la stima delle imposte sul reddito</t>
  </si>
  <si>
    <t>Inddicare la declinazione finanziaria delle grandezze economiche e la determinazione dei flussi al servizio del debito</t>
  </si>
  <si>
    <t>Nome Impresa</t>
  </si>
  <si>
    <t>Data Verifica</t>
  </si>
  <si>
    <t>ALFA S.R.L</t>
  </si>
  <si>
    <t>È stata disposta una situazione contabile recante le rettifiche di competenza e gli assestamenti di chiusura, nel rispetto del principio contabile OIC 30.</t>
  </si>
  <si>
    <t>L'ultima situazione redatta risale a oltre 120 giorni.</t>
  </si>
  <si>
    <t>Indicare i tempi previsti per una situazione aggiornata</t>
  </si>
  <si>
    <t>Esistono altre imprese del gruppo la cui continuità aziendale dipende da quella dell’impresa?</t>
  </si>
  <si>
    <t>Quali sono le imprese e perché?</t>
  </si>
  <si>
    <t>Specificare</t>
  </si>
  <si>
    <t>L'impresa non ha ancora individuato le strategie di intervento e le iniziative industriali che intende adottare.</t>
  </si>
  <si>
    <t>Indicare le difficoltà che non le consentono la formulazione di una strategia e i tempi previsti.</t>
  </si>
  <si>
    <t>Indicare le ragioni di tale affermazione</t>
  </si>
  <si>
    <t>Indicare se l'azienda intende avvalersene o meno</t>
  </si>
  <si>
    <t>Indicare quali lacune organizzative esistono e come l'impresa intende colmarle</t>
  </si>
  <si>
    <t>Se i tempi e gli effetti sono noti compilare il riquadro</t>
  </si>
  <si>
    <t>Se sono note le funzioni aziendali responsabili compilare il riquadro</t>
  </si>
  <si>
    <t xml:space="preserve"> Non sono mai stati predisposti piani aziendali.</t>
  </si>
  <si>
    <t>Indicare le motivazioni e le eventuali difficoltà e limiti di prima redazione</t>
  </si>
  <si>
    <t>Indicare l'occasione in cui si è reso necessaria la redazione del piano, chi lo ha redatto e il grado di raggiungimento rispetto agli obiettivi indicati.</t>
  </si>
  <si>
    <t>Indicare da dove provengono dette risorse.</t>
  </si>
  <si>
    <t>Indicare cosa si intende fare per sostenere il piano in altro modo</t>
  </si>
  <si>
    <t>Indicare i risultati dello stress test</t>
  </si>
  <si>
    <t>Indicare le ragioni che hanno condotto i relatori a non sottoporre il piano allo stress test</t>
  </si>
  <si>
    <t>I test effettuati sono coerenti con i rischi emersi ad esito dell’intervista delle diverse funzioni aziendali avendo comunque riguardo alle prospettive di mercato.</t>
  </si>
  <si>
    <t>Firmata da</t>
  </si>
  <si>
    <t>Relazione in formato compatto (Disponibile solo con Excel 365)</t>
  </si>
  <si>
    <t>Muovendo dalle stime economiche e finanziarie, l'impresa ha determinato anche le grandezze patrimoniali?</t>
  </si>
  <si>
    <t>Su di esse si innesteranno le proposte alle parti interessate di cui al successivo punto 5.5 della presente sezione?</t>
  </si>
  <si>
    <t>Viene calcolata la stima dell’andamento del patrimonio netto al termine dei singoli anni del piano?</t>
  </si>
  <si>
    <t>Su di esse si innestano le poposte alle parti interessate</t>
  </si>
  <si>
    <t>Su di esse non si innestano le poposte alle parti interessate</t>
  </si>
  <si>
    <t>e viene calcolata la stima dell’andamento del patrimonio netto al termine dei singoli anni del piano.</t>
  </si>
  <si>
    <t>e non viene calcolata la stima dell’andamento del patrimonio netto al termine dei singoli anni del piano.</t>
  </si>
  <si>
    <t>_________________________________</t>
  </si>
  <si>
    <r>
      <t xml:space="preserve">Istruzioni: </t>
    </r>
    <r>
      <rPr>
        <i/>
        <sz val="10"/>
        <color theme="1"/>
        <rFont val="Segoe UI"/>
        <family val="2"/>
      </rPr>
      <t>Spuntare i riquadri appositi di ogni sezione e compilare le colonne azzurre se ritenuto necessario.</t>
    </r>
  </si>
  <si>
    <t xml:space="preserve">stima dell’effetto delle operazioni straordinarie, se previste </t>
  </si>
  <si>
    <t>Non esiste in azienda un prospetto recante l’anzianità dei crediti commerciali</t>
  </si>
  <si>
    <t>XXX</t>
  </si>
  <si>
    <t>L’impresa ha attivato il confronto con i dati di andamento del precedente esercizio, in termini di ricavi?</t>
  </si>
  <si>
    <t>L’impresa ha quanto meno attivato il confronto con i dati di andamento del precedente esercizio, in termini di portafogli ordini ?</t>
  </si>
  <si>
    <t>L’impresa ha quanto meno attivato il confronto con i dati di andamento del precedente esercizio, in termini di Posizione Finanziaria Netta?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</si>
</sst>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Calibri"/>
      <family val="2"/>
      <scheme val="minor"/>
    </font>
    <font>
      <b/>
      <sz val="11"/>
      <color theme="1"/>
      <name val="Calibri"/>
      <family val="2"/>
      <scheme val="minor"/>
    </font>
    <font>
      <sz val="11"/>
      <color theme="1"/>
      <name val="Georgia"/>
      <family val="1"/>
    </font>
    <font>
      <sz val="5"/>
      <color theme="1"/>
      <name val="Verdana"/>
      <family val="2"/>
    </font>
    <font>
      <sz val="8"/>
      <name val="Calibri"/>
      <family val="2"/>
      <scheme val="minor"/>
    </font>
    <font>
      <sz val="7"/>
      <color theme="1"/>
      <name val="Georgia"/>
      <family val="1"/>
    </font>
    <font>
      <b/>
      <sz val="7"/>
      <color theme="1"/>
      <name val="Georgia"/>
      <family val="1"/>
    </font>
    <font>
      <sz val="7"/>
      <color rgb="FFFF0000"/>
      <name val="Georgia"/>
      <family val="1"/>
    </font>
    <font>
      <sz val="5"/>
      <color theme="1"/>
      <name val="Georgia"/>
      <family val="1"/>
    </font>
    <font>
      <i/>
      <sz val="7"/>
      <color theme="1"/>
      <name val="Georgia"/>
      <family val="1"/>
    </font>
    <font>
      <sz val="9"/>
      <color theme="1"/>
      <name val="Georgia"/>
      <family val="1"/>
    </font>
    <font>
      <b/>
      <sz val="9"/>
      <color theme="1"/>
      <name val="Georgia"/>
      <family val="1"/>
    </font>
    <font>
      <i/>
      <sz val="9"/>
      <color theme="1"/>
      <name val="Georgia"/>
      <family val="1"/>
    </font>
    <font>
      <sz val="7"/>
      <color theme="0"/>
      <name val="Georgia"/>
      <family val="1"/>
    </font>
    <font>
      <b/>
      <sz val="12"/>
      <color theme="1"/>
      <name val="Georgia"/>
      <family val="1"/>
    </font>
    <font>
      <b/>
      <sz val="14"/>
      <color theme="1"/>
      <name val="Georgia"/>
      <family val="1"/>
    </font>
    <font>
      <b/>
      <sz val="9"/>
      <color theme="1"/>
      <name val="Segoe UI"/>
      <family val="2"/>
    </font>
    <font>
      <sz val="9"/>
      <color theme="1"/>
      <name val="Segoe UI"/>
      <family val="2"/>
    </font>
    <font>
      <sz val="11"/>
      <color theme="1"/>
      <name val="Segoe UI"/>
      <family val="2"/>
    </font>
    <font>
      <sz val="11"/>
      <color theme="0"/>
      <name val="Segoe UI"/>
      <family val="2"/>
    </font>
    <font>
      <b/>
      <sz val="11"/>
      <color theme="1"/>
      <name val="Segoe UI"/>
      <family val="2"/>
    </font>
    <font>
      <sz val="11"/>
      <color rgb="FFFF0000"/>
      <name val="Segoe UI"/>
      <family val="2"/>
    </font>
    <font>
      <b/>
      <sz val="11"/>
      <color theme="0"/>
      <name val="Segoe UI"/>
      <family val="2"/>
    </font>
    <font>
      <sz val="10"/>
      <color theme="1"/>
      <name val="Segoe UI"/>
      <family val="2"/>
    </font>
    <font>
      <b/>
      <sz val="10"/>
      <color theme="1"/>
      <name val="Segoe UI"/>
      <family val="2"/>
    </font>
    <font>
      <i/>
      <sz val="10"/>
      <color theme="1"/>
      <name val="Segoe UI"/>
      <family val="2"/>
    </font>
    <font>
      <i/>
      <sz val="10"/>
      <name val="Segoe UI"/>
      <family val="2"/>
    </font>
    <font>
      <sz val="7"/>
      <color theme="1"/>
      <name val="Segoe UI"/>
      <family val="2"/>
    </font>
    <font>
      <b/>
      <sz val="9"/>
      <color theme="0"/>
      <name val="Segoe UI"/>
      <family val="2"/>
    </font>
    <font>
      <sz val="7"/>
      <color rgb="FFFF0000"/>
      <name val="Segoe UI"/>
      <family val="2"/>
    </font>
    <font>
      <sz val="7"/>
      <color theme="0"/>
      <name val="Segoe UI"/>
      <family val="2"/>
    </font>
    <font>
      <i/>
      <sz val="7"/>
      <color theme="1"/>
      <name val="Segoe UI"/>
      <family val="2"/>
    </font>
    <font>
      <b/>
      <sz val="7"/>
      <color theme="1"/>
      <name val="Segoe UI"/>
      <family val="2"/>
    </font>
    <font>
      <sz val="5"/>
      <color theme="1"/>
      <name val="Segoe UI"/>
      <family val="2"/>
    </font>
    <font>
      <sz val="10"/>
      <color rgb="FFFF0000"/>
      <name val="Segoe UI"/>
      <family val="2"/>
    </font>
    <font>
      <sz val="10"/>
      <color theme="0"/>
      <name val="Segoe UI"/>
      <family val="2"/>
    </font>
    <font>
      <sz val="10"/>
      <color theme="1" tint="0.34998626667073579"/>
      <name val="Segoe UI"/>
      <family val="2"/>
    </font>
    <font>
      <b/>
      <sz val="10"/>
      <color theme="1" tint="0.34998626667073579"/>
      <name val="Segoe UI"/>
      <family val="2"/>
    </font>
    <font>
      <b/>
      <sz val="10"/>
      <name val="Segoe UI"/>
      <family val="2"/>
    </font>
    <font>
      <sz val="10"/>
      <name val="Segoe UI"/>
      <family val="2"/>
    </font>
    <font>
      <sz val="10"/>
      <color rgb="FF70AD47"/>
      <name val="Segoe UI"/>
      <family val="2"/>
    </font>
    <font>
      <sz val="7"/>
      <color rgb="FF70AD47"/>
      <name val="Segoe UI"/>
      <family val="2"/>
    </font>
    <font>
      <i/>
      <sz val="8"/>
      <color theme="1"/>
      <name val="Segoe UI"/>
      <family val="2"/>
    </font>
    <font>
      <i/>
      <sz val="9"/>
      <name val="Segoe UI"/>
      <family val="2"/>
    </font>
    <font>
      <b/>
      <sz val="18"/>
      <color theme="0"/>
      <name val="Tw Cen MT"/>
      <family val="2"/>
    </font>
    <font>
      <b/>
      <sz val="18"/>
      <color theme="1"/>
      <name val="Tw Cen MT"/>
      <family val="2"/>
    </font>
  </fonts>
  <fills count="9">
    <fill>
      <patternFill patternType="none"/>
    </fill>
    <fill>
      <patternFill patternType="gray125"/>
    </fill>
    <fill>
      <patternFill patternType="solid">
        <fgColor rgb="FFFF0000"/>
        <bgColor indexed="64"/>
      </patternFill>
    </fill>
    <fill>
      <patternFill patternType="solid">
        <fgColor theme="0" tint="-0.14999847407452621"/>
        <bgColor indexed="64"/>
      </patternFill>
    </fill>
    <fill>
      <patternFill patternType="solid">
        <fgColor rgb="FF70AD47"/>
        <bgColor indexed="64"/>
      </patternFill>
    </fill>
    <fill>
      <patternFill patternType="solid">
        <fgColor theme="0"/>
        <bgColor indexed="64"/>
      </patternFill>
    </fill>
    <fill>
      <patternFill patternType="solid">
        <fgColor theme="2"/>
        <bgColor indexed="64"/>
      </patternFill>
    </fill>
    <fill>
      <patternFill patternType="solid">
        <fgColor theme="1"/>
        <bgColor indexed="64"/>
      </patternFill>
    </fill>
    <fill>
      <patternFill patternType="solid">
        <fgColor rgb="FF00919E"/>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ck">
        <color theme="0"/>
      </left>
      <right style="thick">
        <color theme="0"/>
      </right>
      <top/>
      <bottom style="thick">
        <color theme="0"/>
      </bottom>
      <diagonal/>
    </border>
    <border>
      <left style="thin">
        <color indexed="64"/>
      </left>
      <right style="thin">
        <color indexed="64"/>
      </right>
      <top/>
      <bottom style="thin">
        <color indexed="64"/>
      </bottom>
      <diagonal/>
    </border>
    <border>
      <left style="medium">
        <color indexed="23"/>
      </left>
      <right/>
      <top style="thin">
        <color indexed="63"/>
      </top>
      <bottom style="thin">
        <color indexed="55"/>
      </bottom>
      <diagonal/>
    </border>
    <border>
      <left style="thin">
        <color auto="1"/>
      </left>
      <right style="thin">
        <color auto="1"/>
      </right>
      <top style="thin">
        <color auto="1"/>
      </top>
      <bottom/>
      <diagonal/>
    </border>
    <border>
      <left style="thin">
        <color auto="1"/>
      </left>
      <right style="thin">
        <color auto="1"/>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80">
    <xf numFmtId="0" fontId="0" fillId="0" borderId="0" xfId="0"/>
    <xf numFmtId="0" fontId="0" fillId="0" borderId="0" xfId="0" applyAlignment="1">
      <alignment vertical="center"/>
    </xf>
    <xf numFmtId="0" fontId="1" fillId="0" borderId="0" xfId="0" applyFont="1"/>
    <xf numFmtId="0" fontId="3"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right" vertical="top" wrapText="1"/>
    </xf>
    <xf numFmtId="0" fontId="6" fillId="0" borderId="0" xfId="0" applyFont="1" applyAlignment="1">
      <alignment vertical="top" wrapText="1"/>
    </xf>
    <xf numFmtId="0" fontId="7" fillId="0" borderId="2" xfId="0" applyFont="1" applyBorder="1" applyAlignment="1">
      <alignment vertical="top" wrapText="1"/>
    </xf>
    <xf numFmtId="0" fontId="8" fillId="0" borderId="0" xfId="0" applyFont="1" applyAlignment="1">
      <alignment vertical="top" wrapText="1"/>
    </xf>
    <xf numFmtId="0" fontId="5" fillId="0" borderId="0" xfId="0" applyFont="1" applyAlignment="1">
      <alignment vertical="center" wrapText="1"/>
    </xf>
    <xf numFmtId="0" fontId="5" fillId="0" borderId="0" xfId="0" applyFont="1" applyAlignment="1">
      <alignment vertical="center"/>
    </xf>
    <xf numFmtId="0" fontId="10" fillId="0" borderId="0" xfId="0" applyFont="1" applyAlignment="1">
      <alignment vertical="top" wrapText="1"/>
    </xf>
    <xf numFmtId="0" fontId="13" fillId="0" borderId="0" xfId="0" applyFont="1" applyAlignment="1">
      <alignment vertical="top" wrapText="1"/>
    </xf>
    <xf numFmtId="0" fontId="5" fillId="0" borderId="0" xfId="0" applyFont="1"/>
    <xf numFmtId="0" fontId="11" fillId="0" borderId="0" xfId="0" applyFont="1" applyAlignment="1">
      <alignment horizontal="justify" vertical="top" wrapText="1"/>
    </xf>
    <xf numFmtId="0" fontId="10" fillId="0" borderId="0" xfId="0" applyFont="1" applyAlignment="1">
      <alignment horizontal="justify" vertical="top" wrapText="1"/>
    </xf>
    <xf numFmtId="0" fontId="10" fillId="0" borderId="0" xfId="0" applyFont="1"/>
    <xf numFmtId="0" fontId="11" fillId="0" borderId="0" xfId="0" applyFont="1" applyAlignment="1">
      <alignment horizontal="justify" vertical="center" wrapText="1"/>
    </xf>
    <xf numFmtId="0" fontId="11" fillId="3" borderId="0" xfId="0" applyFont="1" applyFill="1" applyAlignment="1">
      <alignment horizontal="centerContinuous" vertical="top" wrapText="1"/>
    </xf>
    <xf numFmtId="0" fontId="10" fillId="3" borderId="0" xfId="0" applyFont="1" applyFill="1" applyAlignment="1">
      <alignment horizontal="centerContinuous" vertical="top" wrapText="1"/>
    </xf>
    <xf numFmtId="0" fontId="10" fillId="0" borderId="0" xfId="0" applyFont="1" applyAlignment="1">
      <alignment horizontal="justify" vertical="top"/>
    </xf>
    <xf numFmtId="0" fontId="12" fillId="0" borderId="0" xfId="0" applyFont="1" applyAlignment="1">
      <alignment vertical="top"/>
    </xf>
    <xf numFmtId="0" fontId="10" fillId="0" borderId="0" xfId="0" applyFont="1" applyAlignment="1">
      <alignment vertical="top"/>
    </xf>
    <xf numFmtId="0" fontId="12" fillId="3" borderId="0" xfId="0" applyFont="1" applyFill="1" applyAlignment="1">
      <alignment horizontal="centerContinuous" vertical="top"/>
    </xf>
    <xf numFmtId="0" fontId="2" fillId="0" borderId="0" xfId="0" applyFont="1" applyAlignment="1">
      <alignment horizontal="justify"/>
    </xf>
    <xf numFmtId="0" fontId="7" fillId="0" borderId="2" xfId="0" applyFont="1" applyBorder="1" applyAlignment="1" applyProtection="1">
      <alignment vertical="top" wrapText="1"/>
      <protection locked="0"/>
    </xf>
    <xf numFmtId="0" fontId="10" fillId="0" borderId="0" xfId="0" applyFont="1" applyProtection="1">
      <protection locked="0"/>
    </xf>
    <xf numFmtId="0" fontId="8" fillId="0" borderId="0" xfId="0" applyFont="1" applyAlignment="1" applyProtection="1">
      <alignment vertical="top" wrapText="1"/>
      <protection locked="0"/>
    </xf>
    <xf numFmtId="0" fontId="5" fillId="0" borderId="0" xfId="0" applyFont="1" applyProtection="1">
      <protection locked="0"/>
    </xf>
    <xf numFmtId="0" fontId="0" fillId="0" borderId="0" xfId="0" applyProtection="1">
      <protection locked="0"/>
    </xf>
    <xf numFmtId="0" fontId="5" fillId="0" borderId="0" xfId="0" applyFont="1" applyAlignment="1" applyProtection="1">
      <alignment vertical="center"/>
      <protection locked="0"/>
    </xf>
    <xf numFmtId="0" fontId="10" fillId="0" borderId="0" xfId="0" applyFont="1" applyAlignment="1" applyProtection="1">
      <alignment horizontal="justify" vertical="top" wrapText="1"/>
      <protection locked="0"/>
    </xf>
    <xf numFmtId="0" fontId="14" fillId="0" borderId="0" xfId="0" applyFont="1" applyAlignment="1">
      <alignment horizontal="left" vertical="center"/>
    </xf>
    <xf numFmtId="0" fontId="11" fillId="0" borderId="0" xfId="0" applyFont="1" applyAlignment="1">
      <alignment horizontal="justify" vertical="center"/>
    </xf>
    <xf numFmtId="0" fontId="14" fillId="0" borderId="0" xfId="0" applyFont="1" applyAlignment="1">
      <alignment horizontal="centerContinuous" vertical="center"/>
    </xf>
    <xf numFmtId="0" fontId="10" fillId="0" borderId="0" xfId="0" applyFont="1" applyAlignment="1">
      <alignment horizontal="right" vertical="top"/>
    </xf>
    <xf numFmtId="0" fontId="0" fillId="0" borderId="0" xfId="0" applyAlignment="1">
      <alignment horizontal="right"/>
    </xf>
    <xf numFmtId="14" fontId="10" fillId="0" borderId="0" xfId="0" applyNumberFormat="1" applyFont="1" applyAlignment="1">
      <alignment horizontal="right" vertical="top" indent="10"/>
    </xf>
    <xf numFmtId="0" fontId="0" fillId="0" borderId="0" xfId="0" applyAlignment="1">
      <alignment horizontal="right" indent="7"/>
    </xf>
    <xf numFmtId="0" fontId="18" fillId="0" borderId="0" xfId="0" applyFont="1"/>
    <xf numFmtId="0" fontId="18" fillId="0" borderId="0" xfId="0" applyFont="1" applyAlignment="1">
      <alignment horizontal="right"/>
    </xf>
    <xf numFmtId="0" fontId="18" fillId="0" borderId="0" xfId="0" applyFont="1" applyProtection="1">
      <protection locked="0"/>
    </xf>
    <xf numFmtId="0" fontId="18" fillId="0" borderId="0" xfId="0" applyFont="1" applyAlignment="1">
      <alignment vertical="top" wrapText="1"/>
    </xf>
    <xf numFmtId="0" fontId="18" fillId="0" borderId="0" xfId="0" applyFont="1" applyAlignment="1">
      <alignment horizontal="right" vertical="top" wrapText="1"/>
    </xf>
    <xf numFmtId="0" fontId="20" fillId="0" borderId="0" xfId="0" applyFont="1" applyAlignment="1">
      <alignment vertical="top" wrapText="1"/>
    </xf>
    <xf numFmtId="0" fontId="21" fillId="0" borderId="2" xfId="0" applyFont="1" applyBorder="1" applyAlignment="1" applyProtection="1">
      <alignment vertical="top" wrapText="1"/>
      <protection locked="0"/>
    </xf>
    <xf numFmtId="0" fontId="18" fillId="0" borderId="0" xfId="0" applyFont="1" applyAlignment="1" applyProtection="1">
      <alignment vertical="top" wrapText="1"/>
      <protection locked="0"/>
    </xf>
    <xf numFmtId="0" fontId="21" fillId="0" borderId="2" xfId="0" applyFont="1" applyBorder="1" applyAlignment="1" applyProtection="1">
      <alignment vertical="center" wrapText="1"/>
      <protection locked="0"/>
    </xf>
    <xf numFmtId="0" fontId="21" fillId="0" borderId="2" xfId="0" applyFont="1" applyBorder="1" applyAlignment="1" applyProtection="1">
      <alignment vertical="center"/>
      <protection locked="0"/>
    </xf>
    <xf numFmtId="0" fontId="19" fillId="0" borderId="0" xfId="0" applyFont="1" applyAlignment="1">
      <alignment vertical="center"/>
    </xf>
    <xf numFmtId="0" fontId="18" fillId="0" borderId="0" xfId="0" applyFont="1" applyAlignment="1">
      <alignment vertical="center"/>
    </xf>
    <xf numFmtId="0" fontId="21" fillId="2" borderId="2" xfId="0" applyFont="1" applyFill="1" applyBorder="1" applyAlignment="1" applyProtection="1">
      <alignment vertical="center" wrapText="1"/>
      <protection locked="0"/>
    </xf>
    <xf numFmtId="0" fontId="20" fillId="5" borderId="0" xfId="0" applyFont="1" applyFill="1" applyAlignment="1" applyProtection="1">
      <alignment horizontal="center" vertical="center" wrapText="1"/>
      <protection locked="0"/>
    </xf>
    <xf numFmtId="0" fontId="17" fillId="0" borderId="0" xfId="0" applyFont="1" applyAlignment="1" applyProtection="1">
      <alignment vertical="top" wrapText="1"/>
      <protection locked="0"/>
    </xf>
    <xf numFmtId="0" fontId="17" fillId="0" borderId="0" xfId="0" applyFont="1" applyAlignment="1" applyProtection="1">
      <alignment vertical="center" wrapText="1"/>
      <protection locked="0"/>
    </xf>
    <xf numFmtId="0" fontId="17" fillId="0" borderId="0" xfId="0" applyFont="1" applyAlignment="1" applyProtection="1">
      <alignment vertical="center"/>
      <protection locked="0"/>
    </xf>
    <xf numFmtId="0" fontId="16" fillId="5" borderId="0" xfId="0" applyFont="1" applyFill="1" applyAlignment="1" applyProtection="1">
      <alignment horizontal="center" vertical="center" wrapText="1"/>
      <protection locked="0"/>
    </xf>
    <xf numFmtId="0" fontId="17" fillId="0" borderId="0" xfId="0" applyFont="1" applyProtection="1">
      <protection locked="0"/>
    </xf>
    <xf numFmtId="0" fontId="17" fillId="0" borderId="0" xfId="0" applyFont="1"/>
    <xf numFmtId="0" fontId="23" fillId="0" borderId="0" xfId="0" applyFont="1" applyAlignment="1">
      <alignment vertical="center" wrapText="1"/>
    </xf>
    <xf numFmtId="0" fontId="23" fillId="0" borderId="0" xfId="0" applyFont="1" applyAlignment="1">
      <alignment horizontal="right" vertical="center" wrapText="1"/>
    </xf>
    <xf numFmtId="0" fontId="24" fillId="0" borderId="0" xfId="0" applyFont="1" applyAlignment="1">
      <alignment vertical="center" wrapText="1"/>
    </xf>
    <xf numFmtId="0" fontId="25" fillId="0" borderId="0" xfId="0" applyFont="1" applyAlignment="1">
      <alignment vertical="center" wrapText="1"/>
    </xf>
    <xf numFmtId="0" fontId="24" fillId="5" borderId="0" xfId="0" applyFont="1" applyFill="1" applyAlignment="1">
      <alignment horizontal="center" vertical="center" wrapText="1"/>
    </xf>
    <xf numFmtId="0" fontId="24" fillId="0" borderId="0" xfId="0" applyFont="1" applyAlignment="1">
      <alignment vertical="top" wrapText="1"/>
    </xf>
    <xf numFmtId="0" fontId="27" fillId="0" borderId="0" xfId="0" applyFont="1" applyAlignment="1" applyProtection="1">
      <alignment vertical="center" wrapText="1"/>
      <protection locked="0"/>
    </xf>
    <xf numFmtId="0" fontId="18" fillId="0" borderId="0" xfId="0" applyFont="1" applyAlignment="1" applyProtection="1">
      <alignment vertical="center"/>
      <protection locked="0"/>
    </xf>
    <xf numFmtId="0" fontId="32" fillId="0" borderId="0" xfId="0" applyFont="1" applyAlignment="1" applyProtection="1">
      <alignment vertical="center" wrapText="1"/>
      <protection locked="0"/>
    </xf>
    <xf numFmtId="0" fontId="23" fillId="0" borderId="0" xfId="0" applyFont="1" applyAlignment="1">
      <alignment vertical="center"/>
    </xf>
    <xf numFmtId="0" fontId="34" fillId="2" borderId="2" xfId="0" applyFont="1" applyFill="1" applyBorder="1" applyAlignment="1" applyProtection="1">
      <alignment vertical="center" wrapText="1"/>
      <protection locked="0"/>
    </xf>
    <xf numFmtId="0" fontId="25" fillId="0" borderId="0" xfId="0" applyFont="1" applyAlignment="1">
      <alignment horizontal="justify" vertical="center" wrapText="1"/>
    </xf>
    <xf numFmtId="0" fontId="23" fillId="0" borderId="0" xfId="0" applyFont="1" applyAlignment="1" applyProtection="1">
      <alignment vertical="center"/>
      <protection locked="0"/>
    </xf>
    <xf numFmtId="0" fontId="24" fillId="0" borderId="0" xfId="0" applyFont="1" applyAlignment="1">
      <alignment horizontal="justify" vertical="center" wrapText="1"/>
    </xf>
    <xf numFmtId="0" fontId="35" fillId="0" borderId="2" xfId="0" applyFont="1" applyBorder="1" applyAlignment="1" applyProtection="1">
      <alignment vertical="center" wrapText="1"/>
      <protection locked="0"/>
    </xf>
    <xf numFmtId="0" fontId="36" fillId="0" borderId="0" xfId="0" applyFont="1" applyAlignment="1">
      <alignment horizontal="left" vertical="center" wrapText="1"/>
    </xf>
    <xf numFmtId="0" fontId="23" fillId="0" borderId="0" xfId="0" applyFont="1" applyAlignment="1">
      <alignment horizontal="justify" vertical="center" wrapText="1"/>
    </xf>
    <xf numFmtId="0" fontId="37" fillId="0" borderId="0" xfId="0" applyFont="1" applyAlignment="1">
      <alignment horizontal="left" vertical="center" wrapText="1"/>
    </xf>
    <xf numFmtId="0" fontId="34" fillId="0" borderId="0" xfId="0" applyFont="1" applyAlignment="1">
      <alignment vertical="center" wrapText="1"/>
    </xf>
    <xf numFmtId="0" fontId="25" fillId="0" borderId="0" xfId="0" applyFont="1" applyAlignment="1">
      <alignment horizontal="right" vertical="center" wrapText="1"/>
    </xf>
    <xf numFmtId="0" fontId="25" fillId="0" borderId="0" xfId="0" applyFont="1" applyAlignment="1" applyProtection="1">
      <alignment horizontal="right" vertical="center" wrapText="1"/>
      <protection locked="0"/>
    </xf>
    <xf numFmtId="0" fontId="35" fillId="5" borderId="2" xfId="0" applyFont="1" applyFill="1" applyBorder="1" applyAlignment="1" applyProtection="1">
      <alignment vertical="center" wrapText="1"/>
      <protection locked="0"/>
    </xf>
    <xf numFmtId="0" fontId="38" fillId="0" borderId="0" xfId="0" applyFont="1" applyAlignment="1">
      <alignment vertical="center" wrapText="1"/>
    </xf>
    <xf numFmtId="0" fontId="39" fillId="0" borderId="0" xfId="0" applyFont="1" applyAlignment="1">
      <alignment vertical="center" wrapText="1"/>
    </xf>
    <xf numFmtId="0" fontId="39" fillId="0" borderId="0" xfId="0" applyFont="1" applyAlignment="1">
      <alignment horizontal="justify" vertical="center" wrapText="1"/>
    </xf>
    <xf numFmtId="0" fontId="35" fillId="0" borderId="0" xfId="0" applyFont="1" applyAlignment="1" applyProtection="1">
      <alignment vertical="center"/>
      <protection locked="0"/>
    </xf>
    <xf numFmtId="0" fontId="23" fillId="0" borderId="0" xfId="0" applyFont="1" applyAlignment="1" applyProtection="1">
      <alignment horizontal="justify" vertical="center" wrapText="1"/>
      <protection locked="0"/>
    </xf>
    <xf numFmtId="0" fontId="24" fillId="0" borderId="0" xfId="0" applyFont="1" applyAlignment="1" applyProtection="1">
      <alignment vertical="center" wrapText="1"/>
      <protection locked="0"/>
    </xf>
    <xf numFmtId="0" fontId="23" fillId="0" borderId="0" xfId="0" applyFont="1" applyAlignment="1" applyProtection="1">
      <alignment vertical="center" wrapText="1"/>
      <protection locked="0"/>
    </xf>
    <xf numFmtId="0" fontId="23" fillId="0" borderId="0" xfId="0" applyFont="1"/>
    <xf numFmtId="0" fontId="23" fillId="0" borderId="0" xfId="0" applyFont="1" applyAlignment="1">
      <alignment horizontal="justify"/>
    </xf>
    <xf numFmtId="0" fontId="23" fillId="0" borderId="0" xfId="0" applyFont="1" applyProtection="1">
      <protection locked="0"/>
    </xf>
    <xf numFmtId="0" fontId="29" fillId="0" borderId="0" xfId="0" applyFont="1" applyAlignment="1">
      <alignment vertical="center" wrapText="1"/>
    </xf>
    <xf numFmtId="0" fontId="27" fillId="0" borderId="0" xfId="0" applyFont="1" applyAlignment="1">
      <alignment vertical="center" wrapText="1"/>
    </xf>
    <xf numFmtId="0" fontId="27" fillId="0" borderId="0" xfId="0" applyFont="1" applyAlignment="1" applyProtection="1">
      <alignment vertical="center"/>
      <protection locked="0"/>
    </xf>
    <xf numFmtId="0" fontId="27" fillId="0" borderId="0" xfId="0" applyFont="1" applyAlignment="1">
      <alignment vertical="center"/>
    </xf>
    <xf numFmtId="0" fontId="30" fillId="0" borderId="0" xfId="0" applyFont="1" applyAlignment="1">
      <alignment vertical="center" wrapText="1"/>
    </xf>
    <xf numFmtId="0" fontId="31" fillId="0" borderId="0" xfId="0" applyFont="1" applyAlignment="1" applyProtection="1">
      <alignment horizontal="justify" vertical="center"/>
      <protection locked="0"/>
    </xf>
    <xf numFmtId="0" fontId="31" fillId="0" borderId="0" xfId="0" applyFont="1" applyAlignment="1">
      <alignment horizontal="right" vertical="center" wrapText="1"/>
    </xf>
    <xf numFmtId="0" fontId="32" fillId="0" borderId="0" xfId="0" applyFont="1" applyAlignment="1">
      <alignment vertical="center" wrapText="1"/>
    </xf>
    <xf numFmtId="0" fontId="27" fillId="0" borderId="0" xfId="0" applyFont="1" applyAlignment="1" applyProtection="1">
      <alignment horizontal="left" vertical="center" wrapText="1"/>
      <protection locked="0"/>
    </xf>
    <xf numFmtId="0" fontId="33" fillId="0" borderId="0" xfId="0" applyFont="1" applyAlignment="1">
      <alignment vertical="center" wrapText="1"/>
    </xf>
    <xf numFmtId="0" fontId="27" fillId="0" borderId="0" xfId="0" applyFont="1" applyAlignment="1" applyProtection="1">
      <alignment horizontal="justify" vertical="center" wrapText="1"/>
      <protection locked="0"/>
    </xf>
    <xf numFmtId="0" fontId="27" fillId="0" borderId="0" xfId="0" applyFont="1" applyAlignment="1">
      <alignment horizontal="justify" vertical="center" wrapText="1"/>
    </xf>
    <xf numFmtId="0" fontId="27" fillId="0" borderId="0" xfId="0" applyFont="1" applyProtection="1">
      <protection locked="0"/>
    </xf>
    <xf numFmtId="0" fontId="27" fillId="0" borderId="0" xfId="0" applyFont="1"/>
    <xf numFmtId="0" fontId="27" fillId="0" borderId="0" xfId="0" applyFont="1" applyAlignment="1">
      <alignment vertical="top" wrapText="1"/>
    </xf>
    <xf numFmtId="0" fontId="27" fillId="0" borderId="0" xfId="0" applyFont="1" applyAlignment="1">
      <alignment horizontal="right" vertical="top" wrapText="1"/>
    </xf>
    <xf numFmtId="0" fontId="32" fillId="0" borderId="0" xfId="0" applyFont="1" applyAlignment="1">
      <alignment vertical="top" wrapText="1"/>
    </xf>
    <xf numFmtId="0" fontId="29" fillId="0" borderId="2" xfId="0" applyFont="1" applyBorder="1" applyAlignment="1" applyProtection="1">
      <alignment vertical="top" wrapText="1"/>
      <protection locked="0"/>
    </xf>
    <xf numFmtId="0" fontId="30" fillId="0" borderId="0" xfId="0" applyFont="1" applyAlignment="1">
      <alignment vertical="top" wrapText="1"/>
    </xf>
    <xf numFmtId="0" fontId="27" fillId="0" borderId="0" xfId="0" applyFont="1" applyAlignment="1" applyProtection="1">
      <alignment vertical="top" wrapText="1"/>
      <protection locked="0"/>
    </xf>
    <xf numFmtId="0" fontId="18" fillId="0" borderId="0" xfId="0" applyFont="1" applyAlignment="1">
      <alignment horizontal="justify" vertical="center"/>
    </xf>
    <xf numFmtId="0" fontId="23" fillId="0" borderId="0" xfId="0" applyFont="1" applyAlignment="1">
      <alignment vertical="top" wrapText="1"/>
    </xf>
    <xf numFmtId="0" fontId="23" fillId="0" borderId="0" xfId="0" applyFont="1" applyAlignment="1">
      <alignment horizontal="justify" vertical="top" wrapText="1"/>
    </xf>
    <xf numFmtId="0" fontId="34" fillId="2" borderId="2" xfId="0" applyFont="1" applyFill="1" applyBorder="1" applyAlignment="1" applyProtection="1">
      <alignment vertical="top" wrapText="1"/>
      <protection locked="0"/>
    </xf>
    <xf numFmtId="0" fontId="35" fillId="0" borderId="0" xfId="0" applyFont="1" applyProtection="1">
      <protection locked="0"/>
    </xf>
    <xf numFmtId="0" fontId="35" fillId="0" borderId="2" xfId="0" applyFont="1" applyBorder="1" applyAlignment="1" applyProtection="1">
      <alignment vertical="top" wrapText="1"/>
      <protection locked="0"/>
    </xf>
    <xf numFmtId="0" fontId="25" fillId="0" borderId="0" xfId="0" applyFont="1" applyAlignment="1">
      <alignment horizontal="right" vertical="top" wrapText="1"/>
    </xf>
    <xf numFmtId="0" fontId="25" fillId="0" borderId="0" xfId="0" applyFont="1" applyAlignment="1" applyProtection="1">
      <alignment horizontal="right" vertical="top" wrapText="1"/>
      <protection locked="0"/>
    </xf>
    <xf numFmtId="0" fontId="40" fillId="4" borderId="2" xfId="0" applyFont="1" applyFill="1" applyBorder="1" applyAlignment="1" applyProtection="1">
      <alignment vertical="top" wrapText="1"/>
      <protection locked="0"/>
    </xf>
    <xf numFmtId="0" fontId="27" fillId="0" borderId="0" xfId="0" applyFont="1" applyAlignment="1" applyProtection="1">
      <alignment horizontal="center"/>
      <protection locked="0"/>
    </xf>
    <xf numFmtId="0" fontId="32" fillId="0" borderId="0" xfId="0" applyFont="1" applyAlignment="1" applyProtection="1">
      <alignment vertical="top" wrapText="1"/>
      <protection locked="0"/>
    </xf>
    <xf numFmtId="0" fontId="29" fillId="0" borderId="0" xfId="0" applyFont="1" applyAlignment="1">
      <alignment vertical="top" wrapText="1"/>
    </xf>
    <xf numFmtId="0" fontId="30" fillId="0" borderId="0" xfId="0" applyFont="1"/>
    <xf numFmtId="0" fontId="31" fillId="0" borderId="0" xfId="0" applyFont="1" applyAlignment="1">
      <alignment horizontal="right" vertical="top" wrapText="1"/>
    </xf>
    <xf numFmtId="0" fontId="41" fillId="0" borderId="0" xfId="0" applyFont="1" applyAlignment="1">
      <alignment vertical="top" wrapText="1"/>
    </xf>
    <xf numFmtId="0" fontId="17" fillId="0" borderId="0" xfId="0" applyFont="1" applyAlignment="1">
      <alignment vertical="top"/>
    </xf>
    <xf numFmtId="0" fontId="31" fillId="0" borderId="0" xfId="0" applyFont="1" applyAlignment="1">
      <alignment vertical="top" wrapText="1"/>
    </xf>
    <xf numFmtId="0" fontId="27" fillId="0" borderId="0" xfId="0" applyFont="1" applyAlignment="1">
      <alignment horizontal="justify" vertical="top" wrapText="1"/>
    </xf>
    <xf numFmtId="0" fontId="27" fillId="0" borderId="0" xfId="0" applyFont="1" applyAlignment="1">
      <alignment wrapText="1"/>
    </xf>
    <xf numFmtId="0" fontId="9" fillId="0" borderId="0" xfId="0" applyFont="1" applyAlignment="1">
      <alignment vertical="top" wrapText="1"/>
    </xf>
    <xf numFmtId="0" fontId="5" fillId="0" borderId="0" xfId="0" applyFont="1" applyAlignment="1">
      <alignment horizontal="justify" vertical="top" wrapText="1"/>
    </xf>
    <xf numFmtId="0" fontId="9" fillId="0" borderId="0" xfId="0" applyFont="1" applyAlignment="1">
      <alignment horizontal="justify" vertical="top" wrapText="1"/>
    </xf>
    <xf numFmtId="0" fontId="9" fillId="0" borderId="0" xfId="0" applyFont="1" applyAlignment="1">
      <alignment vertical="top"/>
    </xf>
    <xf numFmtId="1" fontId="26" fillId="6" borderId="4" xfId="0" applyNumberFormat="1" applyFont="1" applyFill="1" applyBorder="1" applyAlignment="1">
      <alignment horizontal="left" vertical="center"/>
    </xf>
    <xf numFmtId="0" fontId="23" fillId="0" borderId="0" xfId="0" applyFont="1" applyAlignment="1">
      <alignment horizontal="right" vertical="top" wrapText="1"/>
    </xf>
    <xf numFmtId="0" fontId="24" fillId="0" borderId="0" xfId="0" applyFont="1" applyAlignment="1">
      <alignment vertical="center"/>
    </xf>
    <xf numFmtId="0" fontId="23" fillId="0" borderId="0" xfId="0" applyFont="1" applyAlignment="1">
      <alignment horizontal="right" vertical="center"/>
    </xf>
    <xf numFmtId="0" fontId="15" fillId="5" borderId="0" xfId="0" applyFont="1" applyFill="1" applyAlignment="1">
      <alignment horizontal="justify" vertical="top" wrapText="1"/>
    </xf>
    <xf numFmtId="0" fontId="15" fillId="5" borderId="5" xfId="0" applyFont="1" applyFill="1" applyBorder="1" applyAlignment="1">
      <alignment horizontal="justify" vertical="top" wrapText="1"/>
    </xf>
    <xf numFmtId="14" fontId="11" fillId="0" borderId="3" xfId="0" applyNumberFormat="1" applyFont="1" applyBorder="1" applyAlignment="1">
      <alignment horizontal="right" vertical="center" wrapText="1" indent="10"/>
    </xf>
    <xf numFmtId="0" fontId="11" fillId="0" borderId="3" xfId="0" applyFont="1" applyBorder="1" applyAlignment="1">
      <alignment horizontal="left" vertical="center" wrapText="1"/>
    </xf>
    <xf numFmtId="0" fontId="10" fillId="0" borderId="3" xfId="0" applyFont="1" applyBorder="1" applyAlignment="1">
      <alignment horizontal="justify" vertical="center" wrapText="1"/>
    </xf>
    <xf numFmtId="0" fontId="11" fillId="0" borderId="6" xfId="0" applyFont="1" applyBorder="1" applyAlignment="1">
      <alignment horizontal="justify" vertical="top" wrapText="1"/>
    </xf>
    <xf numFmtId="0" fontId="11" fillId="0" borderId="6" xfId="0" applyFont="1" applyBorder="1" applyAlignment="1">
      <alignment horizontal="right" wrapText="1" indent="10"/>
    </xf>
    <xf numFmtId="0" fontId="0" fillId="0" borderId="3" xfId="0" applyBorder="1" applyAlignment="1">
      <alignment horizontal="right" indent="7"/>
    </xf>
    <xf numFmtId="0" fontId="10" fillId="0" borderId="3" xfId="0" applyFont="1" applyBorder="1" applyAlignment="1">
      <alignment horizontal="justify" vertical="top" wrapText="1"/>
    </xf>
    <xf numFmtId="0" fontId="43" fillId="0" borderId="0" xfId="0" applyFont="1" applyAlignment="1">
      <alignment horizontal="left" vertical="center" wrapText="1"/>
    </xf>
    <xf numFmtId="0" fontId="44" fillId="7" borderId="7" xfId="0" applyFont="1" applyFill="1" applyBorder="1" applyAlignment="1" applyProtection="1">
      <alignment vertical="center"/>
      <protection hidden="1"/>
    </xf>
    <xf numFmtId="0" fontId="45" fillId="8" borderId="0" xfId="0" applyFont="1" applyFill="1" applyAlignment="1" applyProtection="1">
      <alignment horizontal="left" vertical="center"/>
      <protection hidden="1"/>
    </xf>
    <xf numFmtId="0" fontId="44" fillId="7" borderId="7" xfId="0" applyFont="1" applyFill="1" applyBorder="1" applyAlignment="1" applyProtection="1">
      <alignment horizontal="right" vertical="center"/>
      <protection hidden="1"/>
    </xf>
    <xf numFmtId="0" fontId="44" fillId="7" borderId="7" xfId="0" applyFont="1" applyFill="1" applyBorder="1" applyAlignment="1" applyProtection="1">
      <alignment horizontal="centerContinuous" vertical="center"/>
      <protection hidden="1"/>
    </xf>
    <xf numFmtId="0" fontId="44" fillId="5" borderId="0" xfId="0" applyFont="1" applyFill="1" applyAlignment="1" applyProtection="1">
      <alignment vertical="center"/>
      <protection hidden="1"/>
    </xf>
    <xf numFmtId="0" fontId="44" fillId="7" borderId="8" xfId="0" applyFont="1" applyFill="1" applyBorder="1" applyAlignment="1" applyProtection="1">
      <alignment vertical="center"/>
      <protection hidden="1"/>
    </xf>
    <xf numFmtId="1" fontId="14" fillId="0" borderId="0" xfId="0" applyNumberFormat="1" applyFont="1" applyAlignment="1">
      <alignment horizontal="left" vertical="center"/>
    </xf>
    <xf numFmtId="1" fontId="10" fillId="0" borderId="0" xfId="0" applyNumberFormat="1" applyFont="1" applyAlignment="1">
      <alignment horizontal="right" vertical="top" indent="7"/>
    </xf>
    <xf numFmtId="0" fontId="44" fillId="7" borderId="7" xfId="0" applyFont="1" applyFill="1" applyBorder="1" applyAlignment="1" applyProtection="1">
      <alignment vertical="center"/>
      <protection locked="0" hidden="1"/>
    </xf>
    <xf numFmtId="1" fontId="39" fillId="6" borderId="4" xfId="0" applyNumberFormat="1" applyFont="1" applyFill="1" applyBorder="1" applyAlignment="1" applyProtection="1">
      <alignment horizontal="center" vertical="center"/>
      <protection locked="0"/>
    </xf>
    <xf numFmtId="14" fontId="39" fillId="6" borderId="4" xfId="0" applyNumberFormat="1" applyFont="1" applyFill="1" applyBorder="1" applyAlignment="1" applyProtection="1">
      <alignment horizontal="center" vertical="center"/>
      <protection locked="0"/>
    </xf>
    <xf numFmtId="0" fontId="28" fillId="7" borderId="0" xfId="0" applyFont="1" applyFill="1" applyAlignment="1" applyProtection="1">
      <alignment horizontal="center" vertical="center" wrapText="1"/>
      <protection locked="0"/>
    </xf>
    <xf numFmtId="1" fontId="26" fillId="6" borderId="4" xfId="0" applyNumberFormat="1" applyFont="1" applyFill="1" applyBorder="1" applyAlignment="1" applyProtection="1">
      <alignment horizontal="left" vertical="center"/>
      <protection locked="0"/>
    </xf>
    <xf numFmtId="1" fontId="39" fillId="6" borderId="4" xfId="0" applyNumberFormat="1" applyFont="1" applyFill="1" applyBorder="1" applyAlignment="1" applyProtection="1">
      <alignment horizontal="left" vertical="top"/>
      <protection locked="0"/>
    </xf>
    <xf numFmtId="0" fontId="19" fillId="0" borderId="0" xfId="0" applyFont="1" applyAlignment="1" applyProtection="1">
      <alignment vertical="top" wrapText="1"/>
      <protection locked="0"/>
    </xf>
    <xf numFmtId="0" fontId="19" fillId="0" borderId="0" xfId="0" applyFont="1" applyAlignment="1" applyProtection="1">
      <alignment vertical="center" wrapText="1"/>
      <protection locked="0"/>
    </xf>
    <xf numFmtId="0" fontId="19" fillId="0" borderId="0" xfId="0" applyFont="1" applyAlignment="1" applyProtection="1">
      <alignment vertical="center"/>
      <protection locked="0"/>
    </xf>
    <xf numFmtId="0" fontId="16" fillId="7" borderId="0" xfId="0" applyFont="1" applyFill="1" applyAlignment="1" applyProtection="1">
      <alignment horizontal="center" vertical="center" wrapText="1"/>
      <protection locked="0"/>
    </xf>
    <xf numFmtId="0" fontId="16" fillId="0" borderId="0" xfId="0" applyFont="1" applyAlignment="1" applyProtection="1">
      <alignment vertical="center" wrapText="1"/>
      <protection locked="0"/>
    </xf>
    <xf numFmtId="0" fontId="22" fillId="0" borderId="0" xfId="0" applyFont="1" applyAlignment="1" applyProtection="1">
      <alignment horizontal="center" vertical="center" wrapText="1"/>
      <protection locked="0"/>
    </xf>
    <xf numFmtId="0" fontId="19" fillId="0" borderId="0" xfId="0" applyFont="1" applyProtection="1">
      <protection locked="0"/>
    </xf>
    <xf numFmtId="0" fontId="26" fillId="0" borderId="0" xfId="0" applyFont="1" applyAlignment="1">
      <alignment vertical="center" wrapText="1"/>
    </xf>
    <xf numFmtId="0" fontId="23" fillId="0" borderId="0" xfId="0" applyFont="1" applyAlignment="1">
      <alignment horizontal="left" vertical="center"/>
    </xf>
    <xf numFmtId="1" fontId="39" fillId="6" borderId="4" xfId="0" applyNumberFormat="1" applyFont="1" applyFill="1" applyBorder="1" applyAlignment="1" applyProtection="1">
      <alignment horizontal="center" vertical="center"/>
      <protection locked="0"/>
    </xf>
    <xf numFmtId="0" fontId="42" fillId="0" borderId="0" xfId="0" applyFont="1" applyAlignment="1">
      <alignment horizontal="right" vertical="center" wrapText="1"/>
    </xf>
    <xf numFmtId="0" fontId="27" fillId="0" borderId="1" xfId="0" applyFont="1" applyBorder="1" applyAlignment="1" applyProtection="1">
      <alignment horizontal="left" vertical="center" wrapText="1"/>
      <protection locked="0"/>
    </xf>
    <xf numFmtId="0" fontId="27" fillId="0" borderId="1" xfId="0" applyFont="1" applyBorder="1" applyAlignment="1" applyProtection="1">
      <alignment horizontal="justify" vertical="center" wrapText="1"/>
      <protection locked="0"/>
    </xf>
    <xf numFmtId="0" fontId="27" fillId="0" borderId="3" xfId="0" applyFont="1" applyBorder="1" applyAlignment="1" applyProtection="1">
      <alignment horizontal="justify" vertical="center" wrapText="1"/>
      <protection locked="0"/>
    </xf>
    <xf numFmtId="0" fontId="27" fillId="0" borderId="1" xfId="0" applyFont="1" applyBorder="1" applyAlignment="1" applyProtection="1">
      <alignment horizontal="justify" vertical="top" wrapText="1"/>
      <protection locked="0"/>
    </xf>
    <xf numFmtId="0" fontId="27" fillId="0" borderId="1" xfId="0" applyFont="1" applyBorder="1" applyAlignment="1" applyProtection="1">
      <alignment horizontal="left" vertical="top" wrapText="1"/>
      <protection locked="0"/>
    </xf>
    <xf numFmtId="0" fontId="10" fillId="0" borderId="0" xfId="0" applyFont="1" applyAlignment="1">
      <alignment horizontal="justify" vertical="top"/>
    </xf>
    <xf numFmtId="0" fontId="10" fillId="0" borderId="0" xfId="0" applyFont="1" applyAlignment="1">
      <alignment horizontal="justify" vertical="top" wrapText="1"/>
    </xf>
  </cellXfs>
  <cellStyles count="1">
    <cellStyle name="Normale" xfId="0" builtinId="0"/>
  </cellStyles>
  <dxfs count="185">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9"/>
      </font>
      <fill>
        <patternFill>
          <bgColor theme="9"/>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numFmt numFmtId="0" formatCode="General"/>
      <fill>
        <patternFill>
          <bgColor theme="8" tint="0.79998168889431442"/>
        </patternFill>
      </fill>
    </dxf>
    <dxf>
      <fill>
        <patternFill>
          <bgColor theme="8" tint="0.79998168889431442"/>
        </patternFill>
      </fill>
    </dxf>
    <dxf>
      <numFmt numFmtId="0" formatCode="General"/>
      <fill>
        <patternFill>
          <bgColor theme="8" tint="0.79998168889431442"/>
        </patternFill>
      </fill>
    </dxf>
    <dxf>
      <font>
        <color rgb="FFFF0000"/>
      </font>
      <fill>
        <patternFill>
          <bgColor rgb="FFFF0000"/>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9"/>
      </font>
      <fill>
        <patternFill>
          <bgColor theme="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9"/>
      </font>
      <fill>
        <patternFill>
          <bgColor theme="9"/>
        </patternFill>
      </fill>
    </dxf>
    <dxf>
      <font>
        <color rgb="FF70AD47"/>
      </font>
      <fill>
        <patternFill>
          <bgColor rgb="FF70AD47"/>
        </patternFill>
      </fill>
    </dxf>
    <dxf>
      <font>
        <color rgb="FFFF0000"/>
      </font>
      <fill>
        <patternFill>
          <bgColor rgb="FFFF0000"/>
        </patternFill>
      </fill>
    </dxf>
    <dxf>
      <font>
        <color rgb="FFFF0000"/>
      </font>
      <fill>
        <patternFill>
          <bgColor rgb="FFFF0000"/>
        </patternFill>
      </fill>
    </dxf>
    <dxf>
      <font>
        <color rgb="FF70AD47"/>
      </font>
      <fill>
        <patternFill>
          <bgColor rgb="FF70AD47"/>
        </patternFill>
      </fill>
    </dxf>
    <dxf>
      <font>
        <color theme="9"/>
      </font>
      <fill>
        <patternFill>
          <bgColor theme="9"/>
        </patternFill>
      </fill>
    </dxf>
    <dxf>
      <font>
        <color theme="9"/>
      </font>
      <fill>
        <patternFill>
          <bgColor theme="9"/>
        </patternFill>
      </fill>
    </dxf>
    <dxf>
      <font>
        <color theme="0"/>
      </font>
      <fill>
        <patternFill>
          <bgColor theme="0"/>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0"/>
      </font>
      <fill>
        <patternFill>
          <bgColor theme="0"/>
        </patternFill>
      </fill>
    </dxf>
    <dxf>
      <font>
        <color rgb="FF70AD47"/>
      </font>
      <fill>
        <patternFill>
          <bgColor rgb="FF70AD47"/>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9"/>
      </font>
      <fill>
        <patternFill>
          <bgColor theme="9"/>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9"/>
      </font>
      <fill>
        <patternFill>
          <bgColor theme="9"/>
        </patternFill>
      </fill>
    </dxf>
    <dxf>
      <font>
        <color theme="9"/>
      </font>
      <fill>
        <patternFill>
          <bgColor theme="9"/>
        </patternFill>
      </fill>
    </dxf>
    <dxf>
      <font>
        <color theme="0"/>
      </font>
      <fill>
        <patternFill>
          <bgColor theme="0"/>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9"/>
      </font>
      <fill>
        <patternFill>
          <bgColor theme="9"/>
        </patternFill>
      </fill>
    </dxf>
    <dxf>
      <font>
        <color rgb="FF70AD47"/>
      </font>
      <fill>
        <patternFill>
          <bgColor rgb="FF70AD47"/>
        </patternFill>
      </fill>
    </dxf>
    <dxf>
      <font>
        <color theme="0"/>
      </font>
      <fill>
        <patternFill>
          <bgColor theme="0"/>
        </patternFill>
      </fill>
    </dxf>
    <dxf>
      <font>
        <color theme="9"/>
      </font>
      <fill>
        <patternFill>
          <bgColor theme="9"/>
        </patternFill>
      </fill>
    </dxf>
    <dxf>
      <font>
        <color theme="9"/>
      </font>
      <fill>
        <patternFill>
          <bgColor theme="9"/>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9"/>
      </font>
      <fill>
        <patternFill>
          <bgColor theme="9"/>
        </patternFill>
      </fill>
    </dxf>
    <dxf>
      <font>
        <color rgb="FFFF0000"/>
      </font>
      <fill>
        <patternFill>
          <bgColor rgb="FFFF0000"/>
        </patternFill>
      </fill>
    </dxf>
    <dxf>
      <font>
        <color theme="9"/>
      </font>
      <fill>
        <patternFill>
          <bgColor theme="9"/>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9"/>
      </font>
      <fill>
        <patternFill>
          <bgColor theme="9"/>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9"/>
      </font>
      <fill>
        <patternFill>
          <bgColor theme="9"/>
        </patternFill>
      </fill>
    </dxf>
    <dxf>
      <font>
        <color theme="9"/>
      </font>
      <fill>
        <patternFill>
          <bgColor theme="9"/>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00919E"/>
      <color rgb="FF829E15"/>
      <color rgb="FF0F4762"/>
      <color rgb="FF8B131C"/>
      <color rgb="FF001F5F"/>
      <color rgb="FF70AD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CheckBox" fmlaLink="F9" lockText="1" noThreeD="1"/>
</file>

<file path=xl/ctrlProps/ctrlProp2.xml><?xml version="1.0" encoding="utf-8"?>
<formControlPr xmlns="http://schemas.microsoft.com/office/spreadsheetml/2009/9/main" objectType="CheckBox" fmlaLink="F10" lockText="1" noThreeD="1"/>
</file>

<file path=xl/ctrlProps/ctrlProp3.xml><?xml version="1.0" encoding="utf-8"?>
<formControlPr xmlns="http://schemas.microsoft.com/office/spreadsheetml/2009/9/main" objectType="CheckBox" fmlaLink="F11" lockText="1" noThreeD="1"/>
</file>

<file path=xl/ctrlProps/ctrlProp4.xml><?xml version="1.0" encoding="utf-8"?>
<formControlPr xmlns="http://schemas.microsoft.com/office/spreadsheetml/2009/9/main" objectType="CheckBox" fmlaLink="F12" lockText="1" noThreeD="1"/>
</file>

<file path=xl/ctrlProps/ctrlProp5.xml><?xml version="1.0" encoding="utf-8"?>
<formControlPr xmlns="http://schemas.microsoft.com/office/spreadsheetml/2009/9/main" objectType="CheckBox" fmlaLink="F13" lockText="1" noThreeD="1"/>
</file>

<file path=xl/ctrlProps/ctrlProp6.xml><?xml version="1.0" encoding="utf-8"?>
<formControlPr xmlns="http://schemas.microsoft.com/office/spreadsheetml/2009/9/main" objectType="CheckBox" fmlaLink="F14" lockText="1" noThreeD="1"/>
</file>

<file path=xl/ctrlProps/ctrlProp7.xml><?xml version="1.0" encoding="utf-8"?>
<formControlPr xmlns="http://schemas.microsoft.com/office/spreadsheetml/2009/9/main" objectType="CheckBox" fmlaLink="F15" lockText="1" noThreeD="1"/>
</file>

<file path=xl/ctrlProps/ctrlProp8.xml><?xml version="1.0" encoding="utf-8"?>
<formControlPr xmlns="http://schemas.microsoft.com/office/spreadsheetml/2009/9/main" objectType="CheckBox" fmlaLink="F16" lockText="1" noThreeD="1"/>
</file>

<file path=xl/ctrlProps/ctrlProp9.xml><?xml version="1.0" encoding="utf-8"?>
<formControlPr xmlns="http://schemas.microsoft.com/office/spreadsheetml/2009/9/main" objectType="CheckBox" fmlaLink="F17" lockText="1" noThreeD="1"/>
</file>

<file path=xl/ctrlProps/ctrlProp10.xml><?xml version="1.0" encoding="utf-8"?>
<formControlPr xmlns="http://schemas.microsoft.com/office/spreadsheetml/2009/9/main" objectType="CheckBox" fmlaLink="F18" lockText="1" noThreeD="1"/>
</file>

<file path=xl/ctrlProps/ctrlProp11.xml><?xml version="1.0" encoding="utf-8"?>
<formControlPr xmlns="http://schemas.microsoft.com/office/spreadsheetml/2009/9/main" objectType="CheckBox" fmlaLink="F21" lockText="1" noThreeD="1"/>
</file>

<file path=xl/ctrlProps/ctrlProp12.xml><?xml version="1.0" encoding="utf-8"?>
<formControlPr xmlns="http://schemas.microsoft.com/office/spreadsheetml/2009/9/main" objectType="CheckBox" fmlaLink="F22" lockText="1" noThreeD="1"/>
</file>

<file path=xl/ctrlProps/ctrlProp13.xml><?xml version="1.0" encoding="utf-8"?>
<formControlPr xmlns="http://schemas.microsoft.com/office/spreadsheetml/2009/9/main" objectType="CheckBox" fmlaLink="F23" lockText="1" noThreeD="1"/>
</file>

<file path=xl/ctrlProps/ctrlProp14.xml><?xml version="1.0" encoding="utf-8"?>
<formControlPr xmlns="http://schemas.microsoft.com/office/spreadsheetml/2009/9/main" objectType="CheckBox" fmlaLink="F24" lockText="1" noThreeD="1"/>
</file>

<file path=xl/ctrlProps/ctrlProp15.xml><?xml version="1.0" encoding="utf-8"?>
<formControlPr xmlns="http://schemas.microsoft.com/office/spreadsheetml/2009/9/main" objectType="CheckBox" fmlaLink="F25" lockText="1" noThreeD="1"/>
</file>

<file path=xl/ctrlProps/ctrlProp16.xml><?xml version="1.0" encoding="utf-8"?>
<formControlPr xmlns="http://schemas.microsoft.com/office/spreadsheetml/2009/9/main" objectType="CheckBox" fmlaLink="F26" lockText="1" noThreeD="1"/>
</file>

<file path=xl/ctrlProps/ctrlProp17.xml><?xml version="1.0" encoding="utf-8"?>
<formControlPr xmlns="http://schemas.microsoft.com/office/spreadsheetml/2009/9/main" objectType="CheckBox" fmlaLink="F27" lockText="1" noThreeD="1"/>
</file>

<file path=xl/ctrlProps/ctrlProp18.xml><?xml version="1.0" encoding="utf-8"?>
<formControlPr xmlns="http://schemas.microsoft.com/office/spreadsheetml/2009/9/main" objectType="CheckBox" fmlaLink="F28" lockText="1" noThreeD="1"/>
</file>

<file path=xl/ctrlProps/ctrlProp19.xml><?xml version="1.0" encoding="utf-8"?>
<formControlPr xmlns="http://schemas.microsoft.com/office/spreadsheetml/2009/9/main" objectType="CheckBox" fmlaLink="F29" lockText="1" noThreeD="1"/>
</file>

<file path=xl/ctrlProps/ctrlProp20.xml><?xml version="1.0" encoding="utf-8"?>
<formControlPr xmlns="http://schemas.microsoft.com/office/spreadsheetml/2009/9/main" objectType="CheckBox" fmlaLink="F30" lockText="1" noThreeD="1"/>
</file>

<file path=xl/ctrlProps/ctrlProp21.xml><?xml version="1.0" encoding="utf-8"?>
<formControlPr xmlns="http://schemas.microsoft.com/office/spreadsheetml/2009/9/main" objectType="CheckBox" fmlaLink="F31" lockText="1" noThreeD="1"/>
</file>

<file path=xl/ctrlProps/ctrlProp22.xml><?xml version="1.0" encoding="utf-8"?>
<formControlPr xmlns="http://schemas.microsoft.com/office/spreadsheetml/2009/9/main" objectType="CheckBox" fmlaLink="F32" lockText="1" noThreeD="1"/>
</file>

<file path=xl/ctrlProps/ctrlProp23.xml><?xml version="1.0" encoding="utf-8"?>
<formControlPr xmlns="http://schemas.microsoft.com/office/spreadsheetml/2009/9/main" objectType="CheckBox" fmlaLink="F33" lockText="1" noThreeD="1"/>
</file>

<file path=xl/ctrlProps/ctrlProp24.xml><?xml version="1.0" encoding="utf-8"?>
<formControlPr xmlns="http://schemas.microsoft.com/office/spreadsheetml/2009/9/main" objectType="CheckBox" fmlaLink="F34" lockText="1" noThreeD="1"/>
</file>

<file path=xl/ctrlProps/ctrlProp25.xml><?xml version="1.0" encoding="utf-8"?>
<formControlPr xmlns="http://schemas.microsoft.com/office/spreadsheetml/2009/9/main" objectType="CheckBox" fmlaLink="F35" lockText="1" noThreeD="1"/>
</file>

<file path=xl/ctrlProps/ctrlProp26.xml><?xml version="1.0" encoding="utf-8"?>
<formControlPr xmlns="http://schemas.microsoft.com/office/spreadsheetml/2009/9/main" objectType="CheckBox" fmlaLink="F36" lockText="1" noThreeD="1"/>
</file>

<file path=xl/ctrlProps/ctrlProp27.xml><?xml version="1.0" encoding="utf-8"?>
<formControlPr xmlns="http://schemas.microsoft.com/office/spreadsheetml/2009/9/main" objectType="CheckBox" fmlaLink="F37" lockText="1" noThreeD="1"/>
</file>

<file path=xl/ctrlProps/ctrlProp28.xml><?xml version="1.0" encoding="utf-8"?>
<formControlPr xmlns="http://schemas.microsoft.com/office/spreadsheetml/2009/9/main" objectType="CheckBox" fmlaLink="F7" lockText="1" noThreeD="1"/>
</file>

<file path=xl/ctrlProps/ctrlProp29.xml><?xml version="1.0" encoding="utf-8"?>
<formControlPr xmlns="http://schemas.microsoft.com/office/spreadsheetml/2009/9/main" objectType="CheckBox" fmlaLink="F8" lockText="1" noThreeD="1"/>
</file>

<file path=xl/ctrlProps/ctrlProp30.xml><?xml version="1.0" encoding="utf-8"?>
<formControlPr xmlns="http://schemas.microsoft.com/office/spreadsheetml/2009/9/main" objectType="CheckBox" fmlaLink="F9" lockText="1" noThreeD="1"/>
</file>

<file path=xl/ctrlProps/ctrlProp31.xml><?xml version="1.0" encoding="utf-8"?>
<formControlPr xmlns="http://schemas.microsoft.com/office/spreadsheetml/2009/9/main" objectType="CheckBox" fmlaLink="F12" lockText="1" noThreeD="1"/>
</file>

<file path=xl/ctrlProps/ctrlProp32.xml><?xml version="1.0" encoding="utf-8"?>
<formControlPr xmlns="http://schemas.microsoft.com/office/spreadsheetml/2009/9/main" objectType="CheckBox" fmlaLink="F13" lockText="1" noThreeD="1"/>
</file>

<file path=xl/ctrlProps/ctrlProp33.xml><?xml version="1.0" encoding="utf-8"?>
<formControlPr xmlns="http://schemas.microsoft.com/office/spreadsheetml/2009/9/main" objectType="CheckBox" fmlaLink="F14" lockText="1" noThreeD="1"/>
</file>

<file path=xl/ctrlProps/ctrlProp34.xml><?xml version="1.0" encoding="utf-8"?>
<formControlPr xmlns="http://schemas.microsoft.com/office/spreadsheetml/2009/9/main" objectType="CheckBox" fmlaLink="F15" lockText="1" noThreeD="1"/>
</file>

<file path=xl/ctrlProps/ctrlProp35.xml><?xml version="1.0" encoding="utf-8"?>
<formControlPr xmlns="http://schemas.microsoft.com/office/spreadsheetml/2009/9/main" objectType="CheckBox" fmlaLink="F16" lockText="1" noThreeD="1"/>
</file>

<file path=xl/ctrlProps/ctrlProp36.xml><?xml version="1.0" encoding="utf-8"?>
<formControlPr xmlns="http://schemas.microsoft.com/office/spreadsheetml/2009/9/main" objectType="CheckBox" fmlaLink="F17" lockText="1" noThreeD="1"/>
</file>

<file path=xl/ctrlProps/ctrlProp37.xml><?xml version="1.0" encoding="utf-8"?>
<formControlPr xmlns="http://schemas.microsoft.com/office/spreadsheetml/2009/9/main" objectType="CheckBox" fmlaLink="F18" lockText="1" noThreeD="1"/>
</file>

<file path=xl/ctrlProps/ctrlProp38.xml><?xml version="1.0" encoding="utf-8"?>
<formControlPr xmlns="http://schemas.microsoft.com/office/spreadsheetml/2009/9/main" objectType="CheckBox" fmlaLink="F19" lockText="1" noThreeD="1"/>
</file>

<file path=xl/ctrlProps/ctrlProp39.xml><?xml version="1.0" encoding="utf-8"?>
<formControlPr xmlns="http://schemas.microsoft.com/office/spreadsheetml/2009/9/main" objectType="CheckBox" fmlaLink="F20" lockText="1" noThreeD="1"/>
</file>

<file path=xl/ctrlProps/ctrlProp40.xml><?xml version="1.0" encoding="utf-8"?>
<formControlPr xmlns="http://schemas.microsoft.com/office/spreadsheetml/2009/9/main" objectType="CheckBox" fmlaLink="F21" lockText="1" noThreeD="1"/>
</file>

<file path=xl/ctrlProps/ctrlProp41.xml><?xml version="1.0" encoding="utf-8"?>
<formControlPr xmlns="http://schemas.microsoft.com/office/spreadsheetml/2009/9/main" objectType="CheckBox" fmlaLink="F26" lockText="1" noThreeD="1"/>
</file>

<file path=xl/ctrlProps/ctrlProp42.xml><?xml version="1.0" encoding="utf-8"?>
<formControlPr xmlns="http://schemas.microsoft.com/office/spreadsheetml/2009/9/main" objectType="CheckBox" fmlaLink="F27" lockText="1" noThreeD="1"/>
</file>

<file path=xl/ctrlProps/ctrlProp43.xml><?xml version="1.0" encoding="utf-8"?>
<formControlPr xmlns="http://schemas.microsoft.com/office/spreadsheetml/2009/9/main" objectType="CheckBox" fmlaLink="F108" lockText="1" noThreeD="1"/>
</file>

<file path=xl/ctrlProps/ctrlProp44.xml><?xml version="1.0" encoding="utf-8"?>
<formControlPr xmlns="http://schemas.microsoft.com/office/spreadsheetml/2009/9/main" objectType="CheckBox" fmlaLink="F109" lockText="1" noThreeD="1"/>
</file>

<file path=xl/ctrlProps/ctrlProp45.xml><?xml version="1.0" encoding="utf-8"?>
<formControlPr xmlns="http://schemas.microsoft.com/office/spreadsheetml/2009/9/main" objectType="CheckBox" fmlaLink="F114" lockText="1" noThreeD="1"/>
</file>

<file path=xl/ctrlProps/ctrlProp46.xml><?xml version="1.0" encoding="utf-8"?>
<formControlPr xmlns="http://schemas.microsoft.com/office/spreadsheetml/2009/9/main" objectType="CheckBox" fmlaLink="F126" lockText="1" noThreeD="1"/>
</file>

<file path=xl/ctrlProps/ctrlProp47.xml><?xml version="1.0" encoding="utf-8"?>
<formControlPr xmlns="http://schemas.microsoft.com/office/spreadsheetml/2009/9/main" objectType="CheckBox" fmlaLink="F127" lockText="1" noThreeD="1"/>
</file>

<file path=xl/ctrlProps/ctrlProp48.xml><?xml version="1.0" encoding="utf-8"?>
<formControlPr xmlns="http://schemas.microsoft.com/office/spreadsheetml/2009/9/main" objectType="CheckBox" fmlaLink="F128" lockText="1" noThreeD="1"/>
</file>

<file path=xl/ctrlProps/ctrlProp49.xml><?xml version="1.0" encoding="utf-8"?>
<formControlPr xmlns="http://schemas.microsoft.com/office/spreadsheetml/2009/9/main" objectType="CheckBox" fmlaLink="F129" lockText="1" noThreeD="1"/>
</file>

<file path=xl/ctrlProps/ctrlProp50.xml><?xml version="1.0" encoding="utf-8"?>
<formControlPr xmlns="http://schemas.microsoft.com/office/spreadsheetml/2009/9/main" objectType="CheckBox" fmlaLink="F130" lockText="1" noThreeD="1"/>
</file>

<file path=xl/ctrlProps/ctrlProp51.xml><?xml version="1.0" encoding="utf-8"?>
<formControlPr xmlns="http://schemas.microsoft.com/office/spreadsheetml/2009/9/main" objectType="CheckBox" fmlaLink="F131" lockText="1" noThreeD="1"/>
</file>

<file path=xl/ctrlProps/ctrlProp52.xml><?xml version="1.0" encoding="utf-8"?>
<formControlPr xmlns="http://schemas.microsoft.com/office/spreadsheetml/2009/9/main" objectType="CheckBox" fmlaLink="F137" lockText="1" noThreeD="1"/>
</file>

<file path=xl/ctrlProps/ctrlProp53.xml><?xml version="1.0" encoding="utf-8"?>
<formControlPr xmlns="http://schemas.microsoft.com/office/spreadsheetml/2009/9/main" objectType="CheckBox" fmlaLink="F140" lockText="1" noThreeD="1"/>
</file>

<file path=xl/ctrlProps/ctrlProp54.xml><?xml version="1.0" encoding="utf-8"?>
<formControlPr xmlns="http://schemas.microsoft.com/office/spreadsheetml/2009/9/main" objectType="CheckBox" fmlaLink="F142" lockText="1" noThreeD="1"/>
</file>

<file path=xl/ctrlProps/ctrlProp55.xml><?xml version="1.0" encoding="utf-8"?>
<formControlPr xmlns="http://schemas.microsoft.com/office/spreadsheetml/2009/9/main" objectType="CheckBox" fmlaLink="F144" lockText="1" noThreeD="1"/>
</file>

<file path=xl/ctrlProps/ctrlProp56.xml><?xml version="1.0" encoding="utf-8"?>
<formControlPr xmlns="http://schemas.microsoft.com/office/spreadsheetml/2009/9/main" objectType="CheckBox" fmlaLink="F149" lockText="1" noThreeD="1"/>
</file>

<file path=xl/ctrlProps/ctrlProp57.xml><?xml version="1.0" encoding="utf-8"?>
<formControlPr xmlns="http://schemas.microsoft.com/office/spreadsheetml/2009/9/main" objectType="CheckBox" fmlaLink="F27" lockText="1" noThreeD="1"/>
</file>

<file path=xl/ctrlProps/ctrlProp58.xml><?xml version="1.0" encoding="utf-8"?>
<formControlPr xmlns="http://schemas.microsoft.com/office/spreadsheetml/2009/9/main" objectType="CheckBox" fmlaLink="F25" lockText="1" noThreeD="1"/>
</file>

<file path=xl/ctrlProps/ctrlProp59.xml><?xml version="1.0" encoding="utf-8"?>
<formControlPr xmlns="http://schemas.microsoft.com/office/spreadsheetml/2009/9/main" objectType="CheckBox" fmlaLink="F30" lockText="1" noThreeD="1"/>
</file>

<file path=xl/ctrlProps/ctrlProp60.xml><?xml version="1.0" encoding="utf-8"?>
<formControlPr xmlns="http://schemas.microsoft.com/office/spreadsheetml/2009/9/main" objectType="CheckBox" fmlaLink="F31" lockText="1" noThreeD="1"/>
</file>

<file path=xl/ctrlProps/ctrlProp61.xml><?xml version="1.0" encoding="utf-8"?>
<formControlPr xmlns="http://schemas.microsoft.com/office/spreadsheetml/2009/9/main" objectType="CheckBox" fmlaLink="F32" lockText="1" noThreeD="1"/>
</file>

<file path=xl/ctrlProps/ctrlProp62.xml><?xml version="1.0" encoding="utf-8"?>
<formControlPr xmlns="http://schemas.microsoft.com/office/spreadsheetml/2009/9/main" objectType="CheckBox" fmlaLink="F33" lockText="1" noThreeD="1"/>
</file>

<file path=xl/ctrlProps/ctrlProp63.xml><?xml version="1.0" encoding="utf-8"?>
<formControlPr xmlns="http://schemas.microsoft.com/office/spreadsheetml/2009/9/main" objectType="CheckBox" fmlaLink="F34" lockText="1" noThreeD="1"/>
</file>

<file path=xl/ctrlProps/ctrlProp64.xml><?xml version="1.0" encoding="utf-8"?>
<formControlPr xmlns="http://schemas.microsoft.com/office/spreadsheetml/2009/9/main" objectType="CheckBox" fmlaLink="F35" lockText="1" noThreeD="1"/>
</file>

<file path=xl/ctrlProps/ctrlProp65.xml><?xml version="1.0" encoding="utf-8"?>
<formControlPr xmlns="http://schemas.microsoft.com/office/spreadsheetml/2009/9/main" objectType="CheckBox" fmlaLink="F39" lockText="1" noThreeD="1"/>
</file>

<file path=xl/ctrlProps/ctrlProp66.xml><?xml version="1.0" encoding="utf-8"?>
<formControlPr xmlns="http://schemas.microsoft.com/office/spreadsheetml/2009/9/main" objectType="CheckBox" fmlaLink="F40" lockText="1" noThreeD="1"/>
</file>

<file path=xl/ctrlProps/ctrlProp67.xml><?xml version="1.0" encoding="utf-8"?>
<formControlPr xmlns="http://schemas.microsoft.com/office/spreadsheetml/2009/9/main" objectType="CheckBox" fmlaLink="F41" lockText="1" noThreeD="1"/>
</file>

<file path=xl/ctrlProps/ctrlProp68.xml><?xml version="1.0" encoding="utf-8"?>
<formControlPr xmlns="http://schemas.microsoft.com/office/spreadsheetml/2009/9/main" objectType="CheckBox" fmlaLink="F42" lockText="1" noThreeD="1"/>
</file>

<file path=xl/ctrlProps/ctrlProp69.xml><?xml version="1.0" encoding="utf-8"?>
<formControlPr xmlns="http://schemas.microsoft.com/office/spreadsheetml/2009/9/main" objectType="CheckBox" fmlaLink="F45" lockText="1" noThreeD="1"/>
</file>

<file path=xl/ctrlProps/ctrlProp70.xml><?xml version="1.0" encoding="utf-8"?>
<formControlPr xmlns="http://schemas.microsoft.com/office/spreadsheetml/2009/9/main" objectType="CheckBox" fmlaLink="F46" lockText="1" noThreeD="1"/>
</file>

<file path=xl/ctrlProps/ctrlProp71.xml><?xml version="1.0" encoding="utf-8"?>
<formControlPr xmlns="http://schemas.microsoft.com/office/spreadsheetml/2009/9/main" objectType="CheckBox" fmlaLink="F47" lockText="1" noThreeD="1"/>
</file>

<file path=xl/ctrlProps/ctrlProp72.xml><?xml version="1.0" encoding="utf-8"?>
<formControlPr xmlns="http://schemas.microsoft.com/office/spreadsheetml/2009/9/main" objectType="CheckBox" fmlaLink="F48" lockText="1" noThreeD="1"/>
</file>

<file path=xl/ctrlProps/ctrlProp73.xml><?xml version="1.0" encoding="utf-8"?>
<formControlPr xmlns="http://schemas.microsoft.com/office/spreadsheetml/2009/9/main" objectType="CheckBox" fmlaLink="F49" lockText="1" noThreeD="1"/>
</file>

<file path=xl/ctrlProps/ctrlProp74.xml><?xml version="1.0" encoding="utf-8"?>
<formControlPr xmlns="http://schemas.microsoft.com/office/spreadsheetml/2009/9/main" objectType="CheckBox" fmlaLink="F50" lockText="1" noThreeD="1"/>
</file>

<file path=xl/ctrlProps/ctrlProp75.xml><?xml version="1.0" encoding="utf-8"?>
<formControlPr xmlns="http://schemas.microsoft.com/office/spreadsheetml/2009/9/main" objectType="CheckBox" fmlaLink="F51" lockText="1" noThreeD="1"/>
</file>

<file path=xl/ctrlProps/ctrlProp76.xml><?xml version="1.0" encoding="utf-8"?>
<formControlPr xmlns="http://schemas.microsoft.com/office/spreadsheetml/2009/9/main" objectType="CheckBox" fmlaLink="F52" lockText="1" noThreeD="1"/>
</file>

<file path=xl/ctrlProps/ctrlProp77.xml><?xml version="1.0" encoding="utf-8"?>
<formControlPr xmlns="http://schemas.microsoft.com/office/spreadsheetml/2009/9/main" objectType="CheckBox" fmlaLink="F55" lockText="1" noThreeD="1"/>
</file>

<file path=xl/ctrlProps/ctrlProp78.xml><?xml version="1.0" encoding="utf-8"?>
<formControlPr xmlns="http://schemas.microsoft.com/office/spreadsheetml/2009/9/main" objectType="CheckBox" fmlaLink="F56" lockText="1" noThreeD="1"/>
</file>

<file path=xl/ctrlProps/ctrlProp79.xml><?xml version="1.0" encoding="utf-8"?>
<formControlPr xmlns="http://schemas.microsoft.com/office/spreadsheetml/2009/9/main" objectType="CheckBox" fmlaLink="F57" lockText="1" noThreeD="1"/>
</file>

<file path=xl/ctrlProps/ctrlProp80.xml><?xml version="1.0" encoding="utf-8"?>
<formControlPr xmlns="http://schemas.microsoft.com/office/spreadsheetml/2009/9/main" objectType="CheckBox" fmlaLink="F58" lockText="1" noThreeD="1"/>
</file>

<file path=xl/ctrlProps/ctrlProp81.xml><?xml version="1.0" encoding="utf-8"?>
<formControlPr xmlns="http://schemas.microsoft.com/office/spreadsheetml/2009/9/main" objectType="CheckBox" fmlaLink="F59" lockText="1" noThreeD="1"/>
</file>

<file path=xl/ctrlProps/ctrlProp82.xml><?xml version="1.0" encoding="utf-8"?>
<formControlPr xmlns="http://schemas.microsoft.com/office/spreadsheetml/2009/9/main" objectType="CheckBox" fmlaLink="F60" lockText="1" noThreeD="1"/>
</file>

<file path=xl/ctrlProps/ctrlProp83.xml><?xml version="1.0" encoding="utf-8"?>
<formControlPr xmlns="http://schemas.microsoft.com/office/spreadsheetml/2009/9/main" objectType="CheckBox" fmlaLink="F63" lockText="1" noThreeD="1"/>
</file>

<file path=xl/ctrlProps/ctrlProp84.xml><?xml version="1.0" encoding="utf-8"?>
<formControlPr xmlns="http://schemas.microsoft.com/office/spreadsheetml/2009/9/main" objectType="CheckBox" fmlaLink="F64" lockText="1" noThreeD="1"/>
</file>

<file path=xl/ctrlProps/ctrlProp85.xml><?xml version="1.0" encoding="utf-8"?>
<formControlPr xmlns="http://schemas.microsoft.com/office/spreadsheetml/2009/9/main" objectType="CheckBox" fmlaLink="F65" lockText="1" noThreeD="1"/>
</file>

<file path=xl/ctrlProps/ctrlProp86.xml><?xml version="1.0" encoding="utf-8"?>
<formControlPr xmlns="http://schemas.microsoft.com/office/spreadsheetml/2009/9/main" objectType="CheckBox" fmlaLink="F66" lockText="1" noThreeD="1"/>
</file>

<file path=xl/ctrlProps/ctrlProp87.xml><?xml version="1.0" encoding="utf-8"?>
<formControlPr xmlns="http://schemas.microsoft.com/office/spreadsheetml/2009/9/main" objectType="CheckBox" fmlaLink="F73" lockText="1" noThreeD="1"/>
</file>

<file path=xl/ctrlProps/ctrlProp88.xml><?xml version="1.0" encoding="utf-8"?>
<formControlPr xmlns="http://schemas.microsoft.com/office/spreadsheetml/2009/9/main" objectType="CheckBox" fmlaLink="F74" lockText="1" noThreeD="1"/>
</file>

<file path=xl/ctrlProps/ctrlProp89.xml><?xml version="1.0" encoding="utf-8"?>
<formControlPr xmlns="http://schemas.microsoft.com/office/spreadsheetml/2009/9/main" objectType="CheckBox" fmlaLink="F75" lockText="1" noThreeD="1"/>
</file>

<file path=xl/ctrlProps/ctrlProp90.xml><?xml version="1.0" encoding="utf-8"?>
<formControlPr xmlns="http://schemas.microsoft.com/office/spreadsheetml/2009/9/main" objectType="CheckBox" fmlaLink="F76" lockText="1" noThreeD="1"/>
</file>

<file path=xl/ctrlProps/ctrlProp91.xml><?xml version="1.0" encoding="utf-8"?>
<formControlPr xmlns="http://schemas.microsoft.com/office/spreadsheetml/2009/9/main" objectType="CheckBox" fmlaLink="F81" lockText="1" noThreeD="1"/>
</file>

<file path=xl/ctrlProps/ctrlProp92.xml><?xml version="1.0" encoding="utf-8"?>
<formControlPr xmlns="http://schemas.microsoft.com/office/spreadsheetml/2009/9/main" objectType="CheckBox" fmlaLink="F82" lockText="1" noThreeD="1"/>
</file>

<file path=xl/ctrlProps/ctrlProp93.xml><?xml version="1.0" encoding="utf-8"?>
<formControlPr xmlns="http://schemas.microsoft.com/office/spreadsheetml/2009/9/main" objectType="CheckBox" fmlaLink="F83" lockText="1" noThreeD="1"/>
</file>

<file path=xl/ctrlProps/ctrlProp94.xml><?xml version="1.0" encoding="utf-8"?>
<formControlPr xmlns="http://schemas.microsoft.com/office/spreadsheetml/2009/9/main" objectType="CheckBox" fmlaLink="F134" lockText="1" noThreeD="1"/>
</file>

<file path=xl/ctrlProps/ctrlProp95.xml><?xml version="1.0" encoding="utf-8"?>
<formControlPr xmlns="http://schemas.microsoft.com/office/spreadsheetml/2009/9/main" objectType="CheckBox" fmlaLink="F72" lockText="1" noThreeD="1"/>
</file>

<file path=xl/ctrlProps/ctrlProp96.xml><?xml version="1.0" encoding="utf-8"?>
<formControlPr xmlns="http://schemas.microsoft.com/office/spreadsheetml/2009/9/main" objectType="CheckBox" fmlaLink="F69" lockText="1" noThreeD="1"/>
</file>

<file path=xl/ctrlProps/ctrlProp97.xml><?xml version="1.0" encoding="utf-8"?>
<formControlPr xmlns="http://schemas.microsoft.com/office/spreadsheetml/2009/9/main" objectType="CheckBox" fmlaLink="F84" lockText="1" noThreeD="1"/>
</file>

<file path=xl/ctrlProps/ctrlProp98.xml><?xml version="1.0" encoding="utf-8"?>
<formControlPr xmlns="http://schemas.microsoft.com/office/spreadsheetml/2009/9/main" objectType="CheckBox" fmlaLink="F85" lockText="1" noThreeD="1"/>
</file>

<file path=xl/ctrlProps/ctrlProp99.xml><?xml version="1.0" encoding="utf-8"?>
<formControlPr xmlns="http://schemas.microsoft.com/office/spreadsheetml/2009/9/main" objectType="CheckBox" fmlaLink="F87" lockText="1" noThreeD="1"/>
</file>

<file path=xl/ctrlProps/ctrlProp100.xml><?xml version="1.0" encoding="utf-8"?>
<formControlPr xmlns="http://schemas.microsoft.com/office/spreadsheetml/2009/9/main" objectType="CheckBox" fmlaLink="F24" lockText="1" noThreeD="1"/>
</file>

<file path=xl/ctrlProps/ctrlProp101.xml><?xml version="1.0" encoding="utf-8"?>
<formControlPr xmlns="http://schemas.microsoft.com/office/spreadsheetml/2009/9/main" objectType="CheckBox" fmlaLink="F36" lockText="1" noThreeD="1"/>
</file>

<file path=xl/ctrlProps/ctrlProp102.xml><?xml version="1.0" encoding="utf-8"?>
<formControlPr xmlns="http://schemas.microsoft.com/office/spreadsheetml/2009/9/main" objectType="CheckBox" fmlaLink="F132" lockText="1" noThreeD="1"/>
</file>

<file path=xl/ctrlProps/ctrlProp103.xml><?xml version="1.0" encoding="utf-8"?>
<formControlPr xmlns="http://schemas.microsoft.com/office/spreadsheetml/2009/9/main" objectType="CheckBox" fmlaLink="F81" lockText="1" noThreeD="1"/>
</file>

<file path=xl/ctrlProps/ctrlProp104.xml><?xml version="1.0" encoding="utf-8"?>
<formControlPr xmlns="http://schemas.microsoft.com/office/spreadsheetml/2009/9/main" objectType="CheckBox" fmlaLink="F82" lockText="1" noThreeD="1"/>
</file>

<file path=xl/ctrlProps/ctrlProp105.xml><?xml version="1.0" encoding="utf-8"?>
<formControlPr xmlns="http://schemas.microsoft.com/office/spreadsheetml/2009/9/main" objectType="CheckBox" fmlaLink="F85" lockText="1" noThreeD="1"/>
</file>

<file path=xl/ctrlProps/ctrlProp106.xml><?xml version="1.0" encoding="utf-8"?>
<formControlPr xmlns="http://schemas.microsoft.com/office/spreadsheetml/2009/9/main" objectType="CheckBox" fmlaLink="F87" lockText="1" noThreeD="1"/>
</file>

<file path=xl/ctrlProps/ctrlProp107.xml><?xml version="1.0" encoding="utf-8"?>
<formControlPr xmlns="http://schemas.microsoft.com/office/spreadsheetml/2009/9/main" objectType="CheckBox" fmlaLink="F85" lockText="1" noThreeD="1"/>
</file>

<file path=xl/ctrlProps/ctrlProp108.xml><?xml version="1.0" encoding="utf-8"?>
<formControlPr xmlns="http://schemas.microsoft.com/office/spreadsheetml/2009/9/main" objectType="CheckBox" fmlaLink="F85" lockText="1" noThreeD="1"/>
</file>

<file path=xl/ctrlProps/ctrlProp109.xml><?xml version="1.0" encoding="utf-8"?>
<formControlPr xmlns="http://schemas.microsoft.com/office/spreadsheetml/2009/9/main" objectType="CheckBox" fmlaLink="F85" lockText="1" noThreeD="1"/>
</file>

<file path=xl/ctrlProps/ctrlProp110.xml><?xml version="1.0" encoding="utf-8"?>
<formControlPr xmlns="http://schemas.microsoft.com/office/spreadsheetml/2009/9/main" objectType="CheckBox" fmlaLink="F86" lockText="1" noThreeD="1"/>
</file>

<file path=xl/ctrlProps/ctrlProp111.xml><?xml version="1.0" encoding="utf-8"?>
<formControlPr xmlns="http://schemas.microsoft.com/office/spreadsheetml/2009/9/main" objectType="CheckBox" fmlaLink="F87" lockText="1" noThreeD="1"/>
</file>

<file path=xl/ctrlProps/ctrlProp112.xml><?xml version="1.0" encoding="utf-8"?>
<formControlPr xmlns="http://schemas.microsoft.com/office/spreadsheetml/2009/9/main" objectType="CheckBox" fmlaLink="F91" lockText="1" noThreeD="1"/>
</file>

<file path=xl/ctrlProps/ctrlProp113.xml><?xml version="1.0" encoding="utf-8"?>
<formControlPr xmlns="http://schemas.microsoft.com/office/spreadsheetml/2009/9/main" objectType="CheckBox" fmlaLink="F87" lockText="1" noThreeD="1"/>
</file>

<file path=xl/ctrlProps/ctrlProp114.xml><?xml version="1.0" encoding="utf-8"?>
<formControlPr xmlns="http://schemas.microsoft.com/office/spreadsheetml/2009/9/main" objectType="CheckBox" fmlaLink="F92" lockText="1" noThreeD="1"/>
</file>

<file path=xl/ctrlProps/ctrlProp115.xml><?xml version="1.0" encoding="utf-8"?>
<formControlPr xmlns="http://schemas.microsoft.com/office/spreadsheetml/2009/9/main" objectType="CheckBox" fmlaLink="F87" lockText="1" noThreeD="1"/>
</file>

<file path=xl/ctrlProps/ctrlProp116.xml><?xml version="1.0" encoding="utf-8"?>
<formControlPr xmlns="http://schemas.microsoft.com/office/spreadsheetml/2009/9/main" objectType="CheckBox" fmlaLink="F93" lockText="1" noThreeD="1"/>
</file>

<file path=xl/ctrlProps/ctrlProp117.xml><?xml version="1.0" encoding="utf-8"?>
<formControlPr xmlns="http://schemas.microsoft.com/office/spreadsheetml/2009/9/main" objectType="CheckBox" fmlaLink="F87" lockText="1" noThreeD="1"/>
</file>

<file path=xl/ctrlProps/ctrlProp118.xml><?xml version="1.0" encoding="utf-8"?>
<formControlPr xmlns="http://schemas.microsoft.com/office/spreadsheetml/2009/9/main" objectType="CheckBox" fmlaLink="F94" lockText="1" noThreeD="1"/>
</file>

<file path=xl/ctrlProps/ctrlProp119.xml><?xml version="1.0" encoding="utf-8"?>
<formControlPr xmlns="http://schemas.microsoft.com/office/spreadsheetml/2009/9/main" objectType="CheckBox" fmlaLink="F87" lockText="1" noThreeD="1"/>
</file>

<file path=xl/ctrlProps/ctrlProp120.xml><?xml version="1.0" encoding="utf-8"?>
<formControlPr xmlns="http://schemas.microsoft.com/office/spreadsheetml/2009/9/main" objectType="CheckBox" fmlaLink="F95" lockText="1" noThreeD="1"/>
</file>

<file path=xl/ctrlProps/ctrlProp121.xml><?xml version="1.0" encoding="utf-8"?>
<formControlPr xmlns="http://schemas.microsoft.com/office/spreadsheetml/2009/9/main" objectType="CheckBox" fmlaLink="F87" lockText="1" noThreeD="1"/>
</file>

<file path=xl/ctrlProps/ctrlProp122.xml><?xml version="1.0" encoding="utf-8"?>
<formControlPr xmlns="http://schemas.microsoft.com/office/spreadsheetml/2009/9/main" objectType="CheckBox" fmlaLink="F96" lockText="1" noThreeD="1"/>
</file>

<file path=xl/ctrlProps/ctrlProp123.xml><?xml version="1.0" encoding="utf-8"?>
<formControlPr xmlns="http://schemas.microsoft.com/office/spreadsheetml/2009/9/main" objectType="CheckBox" fmlaLink="F87" lockText="1" noThreeD="1"/>
</file>

<file path=xl/ctrlProps/ctrlProp124.xml><?xml version="1.0" encoding="utf-8"?>
<formControlPr xmlns="http://schemas.microsoft.com/office/spreadsheetml/2009/9/main" objectType="CheckBox" fmlaLink="F97" lockText="1" noThreeD="1"/>
</file>

<file path=xl/ctrlProps/ctrlProp125.xml><?xml version="1.0" encoding="utf-8"?>
<formControlPr xmlns="http://schemas.microsoft.com/office/spreadsheetml/2009/9/main" objectType="CheckBox" fmlaLink="F87" lockText="1" noThreeD="1"/>
</file>

<file path=xl/ctrlProps/ctrlProp126.xml><?xml version="1.0" encoding="utf-8"?>
<formControlPr xmlns="http://schemas.microsoft.com/office/spreadsheetml/2009/9/main" objectType="CheckBox" fmlaLink="F98" lockText="1" noThreeD="1"/>
</file>

<file path=xl/ctrlProps/ctrlProp127.xml><?xml version="1.0" encoding="utf-8"?>
<formControlPr xmlns="http://schemas.microsoft.com/office/spreadsheetml/2009/9/main" objectType="CheckBox" fmlaLink="F87" lockText="1" noThreeD="1"/>
</file>

<file path=xl/ctrlProps/ctrlProp128.xml><?xml version="1.0" encoding="utf-8"?>
<formControlPr xmlns="http://schemas.microsoft.com/office/spreadsheetml/2009/9/main" objectType="CheckBox" fmlaLink="F99" lockText="1" noThreeD="1"/>
</file>

<file path=xl/ctrlProps/ctrlProp129.xml><?xml version="1.0" encoding="utf-8"?>
<formControlPr xmlns="http://schemas.microsoft.com/office/spreadsheetml/2009/9/main" objectType="CheckBox" fmlaLink="F87" lockText="1" noThreeD="1"/>
</file>

<file path=xl/ctrlProps/ctrlProp130.xml><?xml version="1.0" encoding="utf-8"?>
<formControlPr xmlns="http://schemas.microsoft.com/office/spreadsheetml/2009/9/main" objectType="CheckBox" fmlaLink="F103" lockText="1" noThreeD="1"/>
</file>

<file path=xl/ctrlProps/ctrlProp131.xml><?xml version="1.0" encoding="utf-8"?>
<formControlPr xmlns="http://schemas.microsoft.com/office/spreadsheetml/2009/9/main" objectType="CheckBox" fmlaLink="F87" lockText="1" noThreeD="1"/>
</file>

<file path=xl/ctrlProps/ctrlProp132.xml><?xml version="1.0" encoding="utf-8"?>
<formControlPr xmlns="http://schemas.microsoft.com/office/spreadsheetml/2009/9/main" objectType="CheckBox" fmlaLink="F100" lockText="1" noThreeD="1"/>
</file>

<file path=xl/ctrlProps/ctrlProp133.xml><?xml version="1.0" encoding="utf-8"?>
<formControlPr xmlns="http://schemas.microsoft.com/office/spreadsheetml/2009/9/main" objectType="CheckBox" fmlaLink="F135" lockText="1" noThreeD="1"/>
</file>

<file path=xl/ctrlProps/ctrlProp134.xml><?xml version="1.0" encoding="utf-8"?>
<formControlPr xmlns="http://schemas.microsoft.com/office/spreadsheetml/2009/9/main" objectType="CheckBox" fmlaLink="F145" lockText="1" noThreeD="1"/>
</file>

<file path=xl/ctrlProps/ctrlProp135.xml><?xml version="1.0" encoding="utf-8"?>
<formControlPr xmlns="http://schemas.microsoft.com/office/spreadsheetml/2009/9/main" objectType="CheckBox" fmlaLink="F146" lockText="1" noThreeD="1"/>
</file>

<file path=xl/ctrlProps/ctrlProp136.xml><?xml version="1.0" encoding="utf-8"?>
<formControlPr xmlns="http://schemas.microsoft.com/office/spreadsheetml/2009/9/main" objectType="CheckBox" fmlaLink="F147" lockText="1" noThreeD="1"/>
</file>

<file path=xl/ctrlProps/ctrlProp137.xml><?xml version="1.0" encoding="utf-8"?>
<formControlPr xmlns="http://schemas.microsoft.com/office/spreadsheetml/2009/9/main" objectType="CheckBox" fmlaLink="F123" lockText="1" noThreeD="1"/>
</file>

<file path=xl/ctrlProps/ctrlProp138.xml><?xml version="1.0" encoding="utf-8"?>
<formControlPr xmlns="http://schemas.microsoft.com/office/spreadsheetml/2009/9/main" objectType="CheckBox" fmlaLink="F122" lockText="1" noThreeD="1"/>
</file>

<file path=xl/ctrlProps/ctrlProp139.xml><?xml version="1.0" encoding="utf-8"?>
<formControlPr xmlns="http://schemas.microsoft.com/office/spreadsheetml/2009/9/main" objectType="CheckBox" fmlaLink="F4" lockText="1" noThreeD="1"/>
</file>

<file path=xl/ctrlProps/ctrlProp140.xml><?xml version="1.0" encoding="utf-8"?>
<formControlPr xmlns="http://schemas.microsoft.com/office/spreadsheetml/2009/9/main" objectType="CheckBox" fmlaLink="F110" lockText="1" noThreeD="1"/>
</file>

<file path=xl/ctrlProps/ctrlProp141.xml><?xml version="1.0" encoding="utf-8"?>
<formControlPr xmlns="http://schemas.microsoft.com/office/spreadsheetml/2009/9/main" objectType="CheckBox" fmlaLink="F133" lockText="1" noThreeD="1"/>
</file>

<file path=xl/ctrlProps/ctrlProp142.xml><?xml version="1.0" encoding="utf-8"?>
<formControlPr xmlns="http://schemas.microsoft.com/office/spreadsheetml/2009/9/main" objectType="CheckBox" fmlaLink="F138" lockText="1" noThreeD="1"/>
</file>

<file path=xl/ctrlProps/ctrlProp143.xml><?xml version="1.0" encoding="utf-8"?>
<formControlPr xmlns="http://schemas.microsoft.com/office/spreadsheetml/2009/9/main" objectType="CheckBox" fmlaLink="F150" lockText="1" noThreeD="1"/>
</file>

<file path=xl/ctrlProps/ctrlProp144.xml><?xml version="1.0" encoding="utf-8"?>
<formControlPr xmlns="http://schemas.microsoft.com/office/spreadsheetml/2009/9/main" objectType="CheckBox" fmlaLink="F151" lockText="1" noThreeD="1"/>
</file>

<file path=xl/ctrlProps/ctrlProp145.xml><?xml version="1.0" encoding="utf-8"?>
<formControlPr xmlns="http://schemas.microsoft.com/office/spreadsheetml/2009/9/main" objectType="CheckBox" fmlaLink="F6" lockText="1" noThreeD="1"/>
</file>

<file path=xl/ctrlProps/ctrlProp146.xml><?xml version="1.0" encoding="utf-8"?>
<formControlPr xmlns="http://schemas.microsoft.com/office/spreadsheetml/2009/9/main" objectType="CheckBox" fmlaLink="#REF!" lockText="1" noThreeD="1"/>
</file>

<file path=xl/ctrlProps/ctrlProp147.xml><?xml version="1.0" encoding="utf-8"?>
<formControlPr xmlns="http://schemas.microsoft.com/office/spreadsheetml/2009/9/main" objectType="CheckBox" fmlaLink="#REF!" lockText="1" noThreeD="1"/>
</file>

<file path=xl/ctrlProps/ctrlProp148.xml><?xml version="1.0" encoding="utf-8"?>
<formControlPr xmlns="http://schemas.microsoft.com/office/spreadsheetml/2009/9/main" objectType="CheckBox" fmlaLink="F7" lockText="1" noThreeD="1"/>
</file>

<file path=xl/ctrlProps/ctrlProp149.xml><?xml version="1.0" encoding="utf-8"?>
<formControlPr xmlns="http://schemas.microsoft.com/office/spreadsheetml/2009/9/main" objectType="CheckBox" fmlaLink="F8" lockText="1" noThreeD="1"/>
</file>

<file path=xl/ctrlProps/ctrlProp150.xml><?xml version="1.0" encoding="utf-8"?>
<formControlPr xmlns="http://schemas.microsoft.com/office/spreadsheetml/2009/9/main" objectType="CheckBox" fmlaLink="F10" lockText="1" noThreeD="1"/>
</file>

<file path=xl/ctrlProps/ctrlProp151.xml><?xml version="1.0" encoding="utf-8"?>
<formControlPr xmlns="http://schemas.microsoft.com/office/spreadsheetml/2009/9/main" objectType="CheckBox" fmlaLink="F9" lockText="1" noThreeD="1"/>
</file>

<file path=xl/ctrlProps/ctrlProp152.xml><?xml version="1.0" encoding="utf-8"?>
<formControlPr xmlns="http://schemas.microsoft.com/office/spreadsheetml/2009/9/main" objectType="CheckBox" fmlaLink="F11" lockText="1" noThreeD="1"/>
</file>

<file path=xl/ctrlProps/ctrlProp153.xml><?xml version="1.0" encoding="utf-8"?>
<formControlPr xmlns="http://schemas.microsoft.com/office/spreadsheetml/2009/9/main" objectType="CheckBox" fmlaLink="F13" lockText="1" noThreeD="1"/>
</file>

<file path=xl/ctrlProps/ctrlProp154.xml><?xml version="1.0" encoding="utf-8"?>
<formControlPr xmlns="http://schemas.microsoft.com/office/spreadsheetml/2009/9/main" objectType="CheckBox" fmlaLink="F16" lockText="1" noThreeD="1"/>
</file>

<file path=xl/ctrlProps/ctrlProp155.xml><?xml version="1.0" encoding="utf-8"?>
<formControlPr xmlns="http://schemas.microsoft.com/office/spreadsheetml/2009/9/main" objectType="CheckBox" fmlaLink="F19" lockText="1" noThreeD="1"/>
</file>

<file path=xl/ctrlProps/ctrlProp156.xml><?xml version="1.0" encoding="utf-8"?>
<formControlPr xmlns="http://schemas.microsoft.com/office/spreadsheetml/2009/9/main" objectType="CheckBox" fmlaLink="F21" lockText="1" noThreeD="1"/>
</file>

<file path=xl/ctrlProps/ctrlProp157.xml><?xml version="1.0" encoding="utf-8"?>
<formControlPr xmlns="http://schemas.microsoft.com/office/spreadsheetml/2009/9/main" objectType="CheckBox" fmlaLink="F24" lockText="1" noThreeD="1"/>
</file>

<file path=xl/ctrlProps/ctrlProp158.xml><?xml version="1.0" encoding="utf-8"?>
<formControlPr xmlns="http://schemas.microsoft.com/office/spreadsheetml/2009/9/main" objectType="CheckBox" fmlaLink="F26" lockText="1" noThreeD="1"/>
</file>

<file path=xl/ctrlProps/ctrlProp159.xml><?xml version="1.0" encoding="utf-8"?>
<formControlPr xmlns="http://schemas.microsoft.com/office/spreadsheetml/2009/9/main" objectType="CheckBox" fmlaLink="F20" lockText="1" noThreeD="1"/>
</file>

<file path=xl/drawings/_rels/drawing1.xml.rels><?xml version="1.0" encoding="UTF-8" standalone="yes"?>
<Relationships xmlns="http://schemas.openxmlformats.org/package/2006/relationships"><Relationship Id="rId3" Type="http://schemas.openxmlformats.org/officeDocument/2006/relationships/hyperlink" Target="#Relazione!A1"/><Relationship Id="rId2" Type="http://schemas.openxmlformats.org/officeDocument/2006/relationships/hyperlink" Target="#'SEZIONI 3-4'!A1"/><Relationship Id="rId1" Type="http://schemas.openxmlformats.org/officeDocument/2006/relationships/hyperlink" Target="#'SEZIONI 5-6'!A1"/><Relationship Id="rId5" Type="http://schemas.openxmlformats.org/officeDocument/2006/relationships/image" Target="../media/image1.jpeg"/><Relationship Id="rId4" Type="http://schemas.openxmlformats.org/officeDocument/2006/relationships/hyperlink" Target="#'SEZIONI 1-2'!A1"/></Relationships>
</file>

<file path=xl/drawings/_rels/drawing2.xml.rels><?xml version="1.0" encoding="UTF-8" standalone="yes"?>
<Relationships xmlns="http://schemas.openxmlformats.org/package/2006/relationships"><Relationship Id="rId3" Type="http://schemas.openxmlformats.org/officeDocument/2006/relationships/hyperlink" Target="#Relazione!A1"/><Relationship Id="rId2" Type="http://schemas.openxmlformats.org/officeDocument/2006/relationships/hyperlink" Target="#'SEZIONI 3-4'!A1"/><Relationship Id="rId1" Type="http://schemas.openxmlformats.org/officeDocument/2006/relationships/hyperlink" Target="#'SEZIONI 5-6'!A1"/><Relationship Id="rId5" Type="http://schemas.openxmlformats.org/officeDocument/2006/relationships/image" Target="../media/image1.jpeg"/><Relationship Id="rId4" Type="http://schemas.openxmlformats.org/officeDocument/2006/relationships/hyperlink" Target="#'SEZIONI 1-2'!A1"/></Relationships>
</file>

<file path=xl/drawings/_rels/drawing3.xml.rels><?xml version="1.0" encoding="UTF-8" standalone="yes"?>
<Relationships xmlns="http://schemas.openxmlformats.org/package/2006/relationships"><Relationship Id="rId3" Type="http://schemas.openxmlformats.org/officeDocument/2006/relationships/hyperlink" Target="#Relazione!A1"/><Relationship Id="rId2" Type="http://schemas.openxmlformats.org/officeDocument/2006/relationships/hyperlink" Target="#'SEZIONI 3-4'!A1"/><Relationship Id="rId1" Type="http://schemas.openxmlformats.org/officeDocument/2006/relationships/hyperlink" Target="#'SEZIONI 5-6'!A1"/><Relationship Id="rId5" Type="http://schemas.openxmlformats.org/officeDocument/2006/relationships/image" Target="../media/image1.jpeg"/><Relationship Id="rId4" Type="http://schemas.openxmlformats.org/officeDocument/2006/relationships/hyperlink" Target="#'SEZIONI 1-2'!A1"/></Relationships>
</file>

<file path=xl/drawings/_rels/drawing4.xml.rels><?xml version="1.0" encoding="UTF-8" standalone="yes"?>
<Relationships xmlns="http://schemas.openxmlformats.org/package/2006/relationships"><Relationship Id="rId8" Type="http://schemas.openxmlformats.org/officeDocument/2006/relationships/image" Target="../media/image1.jpeg"/><Relationship Id="rId3" Type="http://schemas.openxmlformats.org/officeDocument/2006/relationships/image" Target="../media/image3.svg"/><Relationship Id="rId7" Type="http://schemas.openxmlformats.org/officeDocument/2006/relationships/hyperlink" Target="#'Relazione Compatta (solo 365)'!A1"/><Relationship Id="rId2" Type="http://schemas.openxmlformats.org/officeDocument/2006/relationships/image" Target="../media/image2.png"/><Relationship Id="rId1" Type="http://schemas.openxmlformats.org/officeDocument/2006/relationships/hyperlink" Target="#Relazione!A1"/><Relationship Id="rId6" Type="http://schemas.openxmlformats.org/officeDocument/2006/relationships/hyperlink" Target="#'SEZIONI 1-2'!A1"/><Relationship Id="rId5" Type="http://schemas.openxmlformats.org/officeDocument/2006/relationships/hyperlink" Target="#'SEZIONI 3-4'!A1"/><Relationship Id="rId4" Type="http://schemas.openxmlformats.org/officeDocument/2006/relationships/hyperlink" Target="#'SEZIONI 5-6'!A1"/></Relationships>
</file>

<file path=xl/drawings/_rels/drawing5.xml.rels><?xml version="1.0" encoding="UTF-8" standalone="yes"?>
<Relationships xmlns="http://schemas.openxmlformats.org/package/2006/relationships"><Relationship Id="rId3" Type="http://schemas.openxmlformats.org/officeDocument/2006/relationships/hyperlink" Target="#Relazione!A1"/><Relationship Id="rId2" Type="http://schemas.openxmlformats.org/officeDocument/2006/relationships/hyperlink" Target="#'SEZIONI 3-4'!A1"/><Relationship Id="rId1" Type="http://schemas.openxmlformats.org/officeDocument/2006/relationships/hyperlink" Target="#'SEZIONI 5-6'!A1"/><Relationship Id="rId6" Type="http://schemas.openxmlformats.org/officeDocument/2006/relationships/image" Target="../media/image1.jpeg"/><Relationship Id="rId5" Type="http://schemas.openxmlformats.org/officeDocument/2006/relationships/hyperlink" Target="#'Relazione Compatta (solo 365)'!A1"/><Relationship Id="rId4" Type="http://schemas.openxmlformats.org/officeDocument/2006/relationships/hyperlink" Target="#'SEZIONI 1-2'!A1"/></Relationships>
</file>

<file path=xl/drawings/drawing1.xml><?xml version="1.0" encoding="utf-8"?>
<xdr:wsDr xmlns:xdr="http://schemas.openxmlformats.org/drawingml/2006/spreadsheetDrawing" xmlns:a="http://schemas.openxmlformats.org/drawingml/2006/main">
  <xdr:twoCellAnchor>
    <xdr:from>
      <xdr:col>4</xdr:col>
      <xdr:colOff>2771775</xdr:colOff>
      <xdr:row>6</xdr:row>
      <xdr:rowOff>361950</xdr:rowOff>
    </xdr:from>
    <xdr:to>
      <xdr:col>4</xdr:col>
      <xdr:colOff>3914775</xdr:colOff>
      <xdr:row>6</xdr:row>
      <xdr:rowOff>904875</xdr:rowOff>
    </xdr:to>
    <xdr:sp macro="" textlink="">
      <xdr:nvSpPr>
        <xdr:cNvPr id="2" name="Rettangolo con angoli arrotondati 1">
          <a:hlinkClick xmlns:r="http://schemas.openxmlformats.org/officeDocument/2006/relationships" r:id="rId1"/>
          <a:extLst>
            <a:ext uri="{FF2B5EF4-FFF2-40B4-BE49-F238E27FC236}">
              <a16:creationId xmlns:a16="http://schemas.microsoft.com/office/drawing/2014/main" id="{00000000-0008-0000-0000-000002000000}"/>
            </a:ext>
          </a:extLst>
        </xdr:cNvPr>
        <xdr:cNvSpPr/>
      </xdr:nvSpPr>
      <xdr:spPr>
        <a:xfrm>
          <a:off x="5476875" y="2438400"/>
          <a:ext cx="1143000" cy="542925"/>
        </a:xfrm>
        <a:prstGeom prst="roundRect">
          <a:avLst/>
        </a:prstGeom>
        <a:solidFill>
          <a:srgbClr val="00919E"/>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SEZIONI 5-6</a:t>
          </a:r>
        </a:p>
      </xdr:txBody>
    </xdr:sp>
    <xdr:clientData/>
  </xdr:twoCellAnchor>
  <xdr:twoCellAnchor>
    <xdr:from>
      <xdr:col>4</xdr:col>
      <xdr:colOff>1057275</xdr:colOff>
      <xdr:row>6</xdr:row>
      <xdr:rowOff>361950</xdr:rowOff>
    </xdr:from>
    <xdr:to>
      <xdr:col>4</xdr:col>
      <xdr:colOff>2200275</xdr:colOff>
      <xdr:row>6</xdr:row>
      <xdr:rowOff>904875</xdr:rowOff>
    </xdr:to>
    <xdr:sp macro="" textlink="">
      <xdr:nvSpPr>
        <xdr:cNvPr id="3" name="Rettangolo con angoli arrotondati 2">
          <a:hlinkClick xmlns:r="http://schemas.openxmlformats.org/officeDocument/2006/relationships" r:id="rId2"/>
          <a:extLst>
            <a:ext uri="{FF2B5EF4-FFF2-40B4-BE49-F238E27FC236}">
              <a16:creationId xmlns:a16="http://schemas.microsoft.com/office/drawing/2014/main" id="{00000000-0008-0000-0000-000003000000}"/>
            </a:ext>
          </a:extLst>
        </xdr:cNvPr>
        <xdr:cNvSpPr/>
      </xdr:nvSpPr>
      <xdr:spPr>
        <a:xfrm>
          <a:off x="3762375" y="2438400"/>
          <a:ext cx="1143000" cy="542925"/>
        </a:xfrm>
        <a:prstGeom prst="roundRect">
          <a:avLst/>
        </a:prstGeom>
        <a:solidFill>
          <a:srgbClr val="00919E"/>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SEZIONI 3-4</a:t>
          </a:r>
        </a:p>
      </xdr:txBody>
    </xdr:sp>
    <xdr:clientData/>
  </xdr:twoCellAnchor>
  <xdr:twoCellAnchor>
    <xdr:from>
      <xdr:col>4</xdr:col>
      <xdr:colOff>4514850</xdr:colOff>
      <xdr:row>6</xdr:row>
      <xdr:rowOff>352425</xdr:rowOff>
    </xdr:from>
    <xdr:to>
      <xdr:col>4</xdr:col>
      <xdr:colOff>5657850</xdr:colOff>
      <xdr:row>6</xdr:row>
      <xdr:rowOff>895350</xdr:rowOff>
    </xdr:to>
    <xdr:sp macro="" textlink="">
      <xdr:nvSpPr>
        <xdr:cNvPr id="7" name="Rettangolo con angoli arrotondati 6">
          <a:hlinkClick xmlns:r="http://schemas.openxmlformats.org/officeDocument/2006/relationships" r:id="rId3"/>
          <a:extLst>
            <a:ext uri="{FF2B5EF4-FFF2-40B4-BE49-F238E27FC236}">
              <a16:creationId xmlns:a16="http://schemas.microsoft.com/office/drawing/2014/main" id="{00000000-0008-0000-0000-000007000000}"/>
            </a:ext>
          </a:extLst>
        </xdr:cNvPr>
        <xdr:cNvSpPr/>
      </xdr:nvSpPr>
      <xdr:spPr>
        <a:xfrm>
          <a:off x="7219950" y="2428875"/>
          <a:ext cx="1143000" cy="542925"/>
        </a:xfrm>
        <a:prstGeom prst="roundRect">
          <a:avLst/>
        </a:prstGeom>
        <a:solidFill>
          <a:srgbClr val="00919E"/>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RELAZIONE</a:t>
          </a:r>
          <a:r>
            <a:rPr lang="it-IT" sz="1100" baseline="0">
              <a:ln>
                <a:solidFill>
                  <a:schemeClr val="bg1"/>
                </a:solidFill>
              </a:ln>
              <a:solidFill>
                <a:schemeClr val="lt1"/>
              </a:solidFill>
              <a:latin typeface="+mn-lt"/>
              <a:ea typeface="+mn-ea"/>
              <a:cs typeface="+mn-cs"/>
            </a:rPr>
            <a:t> FINALE</a:t>
          </a:r>
          <a:endParaRPr lang="it-IT" sz="1100">
            <a:ln>
              <a:solidFill>
                <a:schemeClr val="bg1"/>
              </a:solidFill>
            </a:ln>
            <a:solidFill>
              <a:schemeClr val="lt1"/>
            </a:solidFill>
            <a:latin typeface="+mn-lt"/>
            <a:ea typeface="+mn-ea"/>
            <a:cs typeface="+mn-cs"/>
          </a:endParaRPr>
        </a:p>
      </xdr:txBody>
    </xdr:sp>
    <xdr:clientData/>
  </xdr:twoCellAnchor>
  <xdr:twoCellAnchor>
    <xdr:from>
      <xdr:col>3</xdr:col>
      <xdr:colOff>190500</xdr:colOff>
      <xdr:row>6</xdr:row>
      <xdr:rowOff>361950</xdr:rowOff>
    </xdr:from>
    <xdr:to>
      <xdr:col>4</xdr:col>
      <xdr:colOff>514350</xdr:colOff>
      <xdr:row>6</xdr:row>
      <xdr:rowOff>904875</xdr:rowOff>
    </xdr:to>
    <xdr:sp macro="" textlink="">
      <xdr:nvSpPr>
        <xdr:cNvPr id="8" name="Rettangolo con angoli arrotondati 7">
          <a:hlinkClick xmlns:r="http://schemas.openxmlformats.org/officeDocument/2006/relationships" r:id="rId4"/>
          <a:extLst>
            <a:ext uri="{FF2B5EF4-FFF2-40B4-BE49-F238E27FC236}">
              <a16:creationId xmlns:a16="http://schemas.microsoft.com/office/drawing/2014/main" id="{00000000-0008-0000-0000-000008000000}"/>
            </a:ext>
          </a:extLst>
        </xdr:cNvPr>
        <xdr:cNvSpPr/>
      </xdr:nvSpPr>
      <xdr:spPr>
        <a:xfrm>
          <a:off x="2105025" y="2438400"/>
          <a:ext cx="1114425" cy="542925"/>
        </a:xfrm>
        <a:prstGeom prst="roundRect">
          <a:avLst/>
        </a:prstGeom>
        <a:solidFill>
          <a:srgbClr val="829E15"/>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SEZIONI 1-2</a:t>
          </a:r>
        </a:p>
      </xdr:txBody>
    </xdr:sp>
    <xdr:clientData/>
  </xdr:twoCellAnchor>
  <mc:AlternateContent xmlns:mc="http://schemas.openxmlformats.org/markup-compatibility/2006">
    <mc:Choice xmlns:a14="http://schemas.microsoft.com/office/drawing/2010/main" Requires="a14">
      <xdr:twoCellAnchor editAs="oneCell">
        <xdr:from>
          <xdr:col>5</xdr:col>
          <xdr:colOff>19050</xdr:colOff>
          <xdr:row>8</xdr:row>
          <xdr:rowOff>85725</xdr:rowOff>
        </xdr:from>
        <xdr:to>
          <xdr:col>5</xdr:col>
          <xdr:colOff>266700</xdr:colOff>
          <xdr:row>8</xdr:row>
          <xdr:rowOff>323850</xdr:rowOff>
        </xdr:to>
        <xdr:sp macro="" textlink="">
          <xdr:nvSpPr>
            <xdr:cNvPr id="13340" name="Check Box 28" hidden="1">
              <a:extLst>
                <a:ext uri="{63B3BB69-23CF-44E3-9099-C40C66FF867C}">
                  <a14:compatExt spid="_x0000_s13340"/>
                </a:ext>
                <a:ext uri="{FF2B5EF4-FFF2-40B4-BE49-F238E27FC236}">
                  <a16:creationId xmlns:a16="http://schemas.microsoft.com/office/drawing/2014/main" id="{00000000-0008-0000-0000-00001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9</xdr:row>
          <xdr:rowOff>85725</xdr:rowOff>
        </xdr:from>
        <xdr:to>
          <xdr:col>5</xdr:col>
          <xdr:colOff>266700</xdr:colOff>
          <xdr:row>9</xdr:row>
          <xdr:rowOff>323850</xdr:rowOff>
        </xdr:to>
        <xdr:sp macro="" textlink="">
          <xdr:nvSpPr>
            <xdr:cNvPr id="13341" name="Check Box 29" hidden="1">
              <a:extLst>
                <a:ext uri="{63B3BB69-23CF-44E3-9099-C40C66FF867C}">
                  <a14:compatExt spid="_x0000_s13341"/>
                </a:ext>
                <a:ext uri="{FF2B5EF4-FFF2-40B4-BE49-F238E27FC236}">
                  <a16:creationId xmlns:a16="http://schemas.microsoft.com/office/drawing/2014/main" id="{00000000-0008-0000-0000-00001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10</xdr:row>
          <xdr:rowOff>85725</xdr:rowOff>
        </xdr:from>
        <xdr:to>
          <xdr:col>5</xdr:col>
          <xdr:colOff>266700</xdr:colOff>
          <xdr:row>10</xdr:row>
          <xdr:rowOff>323850</xdr:rowOff>
        </xdr:to>
        <xdr:sp macro="" textlink="">
          <xdr:nvSpPr>
            <xdr:cNvPr id="13342" name="Check Box 30" hidden="1">
              <a:extLst>
                <a:ext uri="{63B3BB69-23CF-44E3-9099-C40C66FF867C}">
                  <a14:compatExt spid="_x0000_s13342"/>
                </a:ext>
                <a:ext uri="{FF2B5EF4-FFF2-40B4-BE49-F238E27FC236}">
                  <a16:creationId xmlns:a16="http://schemas.microsoft.com/office/drawing/2014/main" id="{00000000-0008-0000-0000-00001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11</xdr:row>
          <xdr:rowOff>85725</xdr:rowOff>
        </xdr:from>
        <xdr:to>
          <xdr:col>5</xdr:col>
          <xdr:colOff>266700</xdr:colOff>
          <xdr:row>11</xdr:row>
          <xdr:rowOff>323850</xdr:rowOff>
        </xdr:to>
        <xdr:sp macro="" textlink="">
          <xdr:nvSpPr>
            <xdr:cNvPr id="13343" name="Check Box 31" hidden="1">
              <a:extLst>
                <a:ext uri="{63B3BB69-23CF-44E3-9099-C40C66FF867C}">
                  <a14:compatExt spid="_x0000_s13343"/>
                </a:ext>
                <a:ext uri="{FF2B5EF4-FFF2-40B4-BE49-F238E27FC236}">
                  <a16:creationId xmlns:a16="http://schemas.microsoft.com/office/drawing/2014/main" id="{00000000-0008-0000-0000-00001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12</xdr:row>
          <xdr:rowOff>85725</xdr:rowOff>
        </xdr:from>
        <xdr:to>
          <xdr:col>5</xdr:col>
          <xdr:colOff>266700</xdr:colOff>
          <xdr:row>12</xdr:row>
          <xdr:rowOff>323850</xdr:rowOff>
        </xdr:to>
        <xdr:sp macro="" textlink="">
          <xdr:nvSpPr>
            <xdr:cNvPr id="13344" name="Check Box 32" hidden="1">
              <a:extLst>
                <a:ext uri="{63B3BB69-23CF-44E3-9099-C40C66FF867C}">
                  <a14:compatExt spid="_x0000_s13344"/>
                </a:ext>
                <a:ext uri="{FF2B5EF4-FFF2-40B4-BE49-F238E27FC236}">
                  <a16:creationId xmlns:a16="http://schemas.microsoft.com/office/drawing/2014/main" id="{00000000-0008-0000-0000-00002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13</xdr:row>
          <xdr:rowOff>85725</xdr:rowOff>
        </xdr:from>
        <xdr:to>
          <xdr:col>5</xdr:col>
          <xdr:colOff>266700</xdr:colOff>
          <xdr:row>13</xdr:row>
          <xdr:rowOff>323850</xdr:rowOff>
        </xdr:to>
        <xdr:sp macro="" textlink="">
          <xdr:nvSpPr>
            <xdr:cNvPr id="13345" name="Check Box 33" hidden="1">
              <a:extLst>
                <a:ext uri="{63B3BB69-23CF-44E3-9099-C40C66FF867C}">
                  <a14:compatExt spid="_x0000_s13345"/>
                </a:ext>
                <a:ext uri="{FF2B5EF4-FFF2-40B4-BE49-F238E27FC236}">
                  <a16:creationId xmlns:a16="http://schemas.microsoft.com/office/drawing/2014/main" id="{00000000-0008-0000-0000-00002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14</xdr:row>
          <xdr:rowOff>85725</xdr:rowOff>
        </xdr:from>
        <xdr:to>
          <xdr:col>5</xdr:col>
          <xdr:colOff>266700</xdr:colOff>
          <xdr:row>14</xdr:row>
          <xdr:rowOff>323850</xdr:rowOff>
        </xdr:to>
        <xdr:sp macro="" textlink="">
          <xdr:nvSpPr>
            <xdr:cNvPr id="13346" name="Check Box 34" hidden="1">
              <a:extLst>
                <a:ext uri="{63B3BB69-23CF-44E3-9099-C40C66FF867C}">
                  <a14:compatExt spid="_x0000_s13346"/>
                </a:ext>
                <a:ext uri="{FF2B5EF4-FFF2-40B4-BE49-F238E27FC236}">
                  <a16:creationId xmlns:a16="http://schemas.microsoft.com/office/drawing/2014/main" id="{00000000-0008-0000-0000-00002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15</xdr:row>
          <xdr:rowOff>85725</xdr:rowOff>
        </xdr:from>
        <xdr:to>
          <xdr:col>5</xdr:col>
          <xdr:colOff>266700</xdr:colOff>
          <xdr:row>15</xdr:row>
          <xdr:rowOff>323850</xdr:rowOff>
        </xdr:to>
        <xdr:sp macro="" textlink="">
          <xdr:nvSpPr>
            <xdr:cNvPr id="13347" name="Check Box 35" hidden="1">
              <a:extLst>
                <a:ext uri="{63B3BB69-23CF-44E3-9099-C40C66FF867C}">
                  <a14:compatExt spid="_x0000_s13347"/>
                </a:ext>
                <a:ext uri="{FF2B5EF4-FFF2-40B4-BE49-F238E27FC236}">
                  <a16:creationId xmlns:a16="http://schemas.microsoft.com/office/drawing/2014/main" id="{00000000-0008-0000-0000-00002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16</xdr:row>
          <xdr:rowOff>85725</xdr:rowOff>
        </xdr:from>
        <xdr:to>
          <xdr:col>5</xdr:col>
          <xdr:colOff>266700</xdr:colOff>
          <xdr:row>16</xdr:row>
          <xdr:rowOff>323850</xdr:rowOff>
        </xdr:to>
        <xdr:sp macro="" textlink="">
          <xdr:nvSpPr>
            <xdr:cNvPr id="13348" name="Check Box 36" hidden="1">
              <a:extLst>
                <a:ext uri="{63B3BB69-23CF-44E3-9099-C40C66FF867C}">
                  <a14:compatExt spid="_x0000_s13348"/>
                </a:ext>
                <a:ext uri="{FF2B5EF4-FFF2-40B4-BE49-F238E27FC236}">
                  <a16:creationId xmlns:a16="http://schemas.microsoft.com/office/drawing/2014/main" id="{00000000-0008-0000-0000-00002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17</xdr:row>
          <xdr:rowOff>85725</xdr:rowOff>
        </xdr:from>
        <xdr:to>
          <xdr:col>5</xdr:col>
          <xdr:colOff>266700</xdr:colOff>
          <xdr:row>17</xdr:row>
          <xdr:rowOff>323850</xdr:rowOff>
        </xdr:to>
        <xdr:sp macro="" textlink="">
          <xdr:nvSpPr>
            <xdr:cNvPr id="13349" name="Check Box 37" hidden="1">
              <a:extLst>
                <a:ext uri="{63B3BB69-23CF-44E3-9099-C40C66FF867C}">
                  <a14:compatExt spid="_x0000_s13349"/>
                </a:ext>
                <a:ext uri="{FF2B5EF4-FFF2-40B4-BE49-F238E27FC236}">
                  <a16:creationId xmlns:a16="http://schemas.microsoft.com/office/drawing/2014/main" id="{00000000-0008-0000-0000-00002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85725</xdr:rowOff>
        </xdr:from>
        <xdr:to>
          <xdr:col>5</xdr:col>
          <xdr:colOff>266700</xdr:colOff>
          <xdr:row>20</xdr:row>
          <xdr:rowOff>323850</xdr:rowOff>
        </xdr:to>
        <xdr:sp macro="" textlink="">
          <xdr:nvSpPr>
            <xdr:cNvPr id="13350" name="Check Box 38" hidden="1">
              <a:extLst>
                <a:ext uri="{63B3BB69-23CF-44E3-9099-C40C66FF867C}">
                  <a14:compatExt spid="_x0000_s13350"/>
                </a:ext>
                <a:ext uri="{FF2B5EF4-FFF2-40B4-BE49-F238E27FC236}">
                  <a16:creationId xmlns:a16="http://schemas.microsoft.com/office/drawing/2014/main" id="{00000000-0008-0000-0000-00002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21</xdr:row>
          <xdr:rowOff>85725</xdr:rowOff>
        </xdr:from>
        <xdr:to>
          <xdr:col>5</xdr:col>
          <xdr:colOff>266700</xdr:colOff>
          <xdr:row>21</xdr:row>
          <xdr:rowOff>323850</xdr:rowOff>
        </xdr:to>
        <xdr:sp macro="" textlink="">
          <xdr:nvSpPr>
            <xdr:cNvPr id="13351" name="Check Box 39" hidden="1">
              <a:extLst>
                <a:ext uri="{63B3BB69-23CF-44E3-9099-C40C66FF867C}">
                  <a14:compatExt spid="_x0000_s13351"/>
                </a:ext>
                <a:ext uri="{FF2B5EF4-FFF2-40B4-BE49-F238E27FC236}">
                  <a16:creationId xmlns:a16="http://schemas.microsoft.com/office/drawing/2014/main" id="{00000000-0008-0000-0000-00002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22</xdr:row>
          <xdr:rowOff>85725</xdr:rowOff>
        </xdr:from>
        <xdr:to>
          <xdr:col>5</xdr:col>
          <xdr:colOff>266700</xdr:colOff>
          <xdr:row>22</xdr:row>
          <xdr:rowOff>323850</xdr:rowOff>
        </xdr:to>
        <xdr:sp macro="" textlink="">
          <xdr:nvSpPr>
            <xdr:cNvPr id="13352" name="Check Box 40" hidden="1">
              <a:extLst>
                <a:ext uri="{63B3BB69-23CF-44E3-9099-C40C66FF867C}">
                  <a14:compatExt spid="_x0000_s13352"/>
                </a:ext>
                <a:ext uri="{FF2B5EF4-FFF2-40B4-BE49-F238E27FC236}">
                  <a16:creationId xmlns:a16="http://schemas.microsoft.com/office/drawing/2014/main" id="{00000000-0008-0000-0000-00002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23</xdr:row>
          <xdr:rowOff>85725</xdr:rowOff>
        </xdr:from>
        <xdr:to>
          <xdr:col>5</xdr:col>
          <xdr:colOff>266700</xdr:colOff>
          <xdr:row>23</xdr:row>
          <xdr:rowOff>323850</xdr:rowOff>
        </xdr:to>
        <xdr:sp macro="" textlink="">
          <xdr:nvSpPr>
            <xdr:cNvPr id="13353" name="Check Box 41" hidden="1">
              <a:extLst>
                <a:ext uri="{63B3BB69-23CF-44E3-9099-C40C66FF867C}">
                  <a14:compatExt spid="_x0000_s13353"/>
                </a:ext>
                <a:ext uri="{FF2B5EF4-FFF2-40B4-BE49-F238E27FC236}">
                  <a16:creationId xmlns:a16="http://schemas.microsoft.com/office/drawing/2014/main" id="{00000000-0008-0000-0000-00002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24</xdr:row>
          <xdr:rowOff>85725</xdr:rowOff>
        </xdr:from>
        <xdr:to>
          <xdr:col>5</xdr:col>
          <xdr:colOff>266700</xdr:colOff>
          <xdr:row>24</xdr:row>
          <xdr:rowOff>323850</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00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25</xdr:row>
          <xdr:rowOff>85725</xdr:rowOff>
        </xdr:from>
        <xdr:to>
          <xdr:col>5</xdr:col>
          <xdr:colOff>266700</xdr:colOff>
          <xdr:row>25</xdr:row>
          <xdr:rowOff>323850</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00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26</xdr:row>
          <xdr:rowOff>85725</xdr:rowOff>
        </xdr:from>
        <xdr:to>
          <xdr:col>5</xdr:col>
          <xdr:colOff>266700</xdr:colOff>
          <xdr:row>26</xdr:row>
          <xdr:rowOff>323850</xdr:rowOff>
        </xdr:to>
        <xdr:sp macro="" textlink="">
          <xdr:nvSpPr>
            <xdr:cNvPr id="13356" name="Check Box 44" hidden="1">
              <a:extLst>
                <a:ext uri="{63B3BB69-23CF-44E3-9099-C40C66FF867C}">
                  <a14:compatExt spid="_x0000_s13356"/>
                </a:ext>
                <a:ext uri="{FF2B5EF4-FFF2-40B4-BE49-F238E27FC236}">
                  <a16:creationId xmlns:a16="http://schemas.microsoft.com/office/drawing/2014/main" id="{00000000-0008-0000-0000-00002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27</xdr:row>
          <xdr:rowOff>85725</xdr:rowOff>
        </xdr:from>
        <xdr:to>
          <xdr:col>5</xdr:col>
          <xdr:colOff>266700</xdr:colOff>
          <xdr:row>27</xdr:row>
          <xdr:rowOff>323850</xdr:rowOff>
        </xdr:to>
        <xdr:sp macro="" textlink="">
          <xdr:nvSpPr>
            <xdr:cNvPr id="13357" name="Check Box 45" hidden="1">
              <a:extLst>
                <a:ext uri="{63B3BB69-23CF-44E3-9099-C40C66FF867C}">
                  <a14:compatExt spid="_x0000_s13357"/>
                </a:ext>
                <a:ext uri="{FF2B5EF4-FFF2-40B4-BE49-F238E27FC236}">
                  <a16:creationId xmlns:a16="http://schemas.microsoft.com/office/drawing/2014/main" id="{00000000-0008-0000-0000-00002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28</xdr:row>
          <xdr:rowOff>85725</xdr:rowOff>
        </xdr:from>
        <xdr:to>
          <xdr:col>5</xdr:col>
          <xdr:colOff>266700</xdr:colOff>
          <xdr:row>28</xdr:row>
          <xdr:rowOff>323850</xdr:rowOff>
        </xdr:to>
        <xdr:sp macro="" textlink="">
          <xdr:nvSpPr>
            <xdr:cNvPr id="13358" name="Check Box 46" hidden="1">
              <a:extLst>
                <a:ext uri="{63B3BB69-23CF-44E3-9099-C40C66FF867C}">
                  <a14:compatExt spid="_x0000_s13358"/>
                </a:ext>
                <a:ext uri="{FF2B5EF4-FFF2-40B4-BE49-F238E27FC236}">
                  <a16:creationId xmlns:a16="http://schemas.microsoft.com/office/drawing/2014/main" id="{00000000-0008-0000-0000-00002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29</xdr:row>
          <xdr:rowOff>85725</xdr:rowOff>
        </xdr:from>
        <xdr:to>
          <xdr:col>5</xdr:col>
          <xdr:colOff>266700</xdr:colOff>
          <xdr:row>29</xdr:row>
          <xdr:rowOff>323850</xdr:rowOff>
        </xdr:to>
        <xdr:sp macro="" textlink="">
          <xdr:nvSpPr>
            <xdr:cNvPr id="13359" name="Check Box 47" hidden="1">
              <a:extLst>
                <a:ext uri="{63B3BB69-23CF-44E3-9099-C40C66FF867C}">
                  <a14:compatExt spid="_x0000_s13359"/>
                </a:ext>
                <a:ext uri="{FF2B5EF4-FFF2-40B4-BE49-F238E27FC236}">
                  <a16:creationId xmlns:a16="http://schemas.microsoft.com/office/drawing/2014/main" id="{00000000-0008-0000-0000-00002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30</xdr:row>
          <xdr:rowOff>85725</xdr:rowOff>
        </xdr:from>
        <xdr:to>
          <xdr:col>5</xdr:col>
          <xdr:colOff>266700</xdr:colOff>
          <xdr:row>30</xdr:row>
          <xdr:rowOff>323850</xdr:rowOff>
        </xdr:to>
        <xdr:sp macro="" textlink="">
          <xdr:nvSpPr>
            <xdr:cNvPr id="13360" name="Check Box 48" hidden="1">
              <a:extLst>
                <a:ext uri="{63B3BB69-23CF-44E3-9099-C40C66FF867C}">
                  <a14:compatExt spid="_x0000_s13360"/>
                </a:ext>
                <a:ext uri="{FF2B5EF4-FFF2-40B4-BE49-F238E27FC236}">
                  <a16:creationId xmlns:a16="http://schemas.microsoft.com/office/drawing/2014/main" id="{00000000-0008-0000-0000-00003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31</xdr:row>
          <xdr:rowOff>85725</xdr:rowOff>
        </xdr:from>
        <xdr:to>
          <xdr:col>5</xdr:col>
          <xdr:colOff>266700</xdr:colOff>
          <xdr:row>31</xdr:row>
          <xdr:rowOff>323850</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00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32</xdr:row>
          <xdr:rowOff>85725</xdr:rowOff>
        </xdr:from>
        <xdr:to>
          <xdr:col>5</xdr:col>
          <xdr:colOff>266700</xdr:colOff>
          <xdr:row>32</xdr:row>
          <xdr:rowOff>323850</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00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33</xdr:row>
          <xdr:rowOff>85725</xdr:rowOff>
        </xdr:from>
        <xdr:to>
          <xdr:col>5</xdr:col>
          <xdr:colOff>266700</xdr:colOff>
          <xdr:row>33</xdr:row>
          <xdr:rowOff>323850</xdr:rowOff>
        </xdr:to>
        <xdr:sp macro="" textlink="">
          <xdr:nvSpPr>
            <xdr:cNvPr id="13363" name="Check Box 51" hidden="1">
              <a:extLst>
                <a:ext uri="{63B3BB69-23CF-44E3-9099-C40C66FF867C}">
                  <a14:compatExt spid="_x0000_s13363"/>
                </a:ext>
                <a:ext uri="{FF2B5EF4-FFF2-40B4-BE49-F238E27FC236}">
                  <a16:creationId xmlns:a16="http://schemas.microsoft.com/office/drawing/2014/main" id="{00000000-0008-0000-0000-00003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34</xdr:row>
          <xdr:rowOff>85725</xdr:rowOff>
        </xdr:from>
        <xdr:to>
          <xdr:col>5</xdr:col>
          <xdr:colOff>266700</xdr:colOff>
          <xdr:row>34</xdr:row>
          <xdr:rowOff>323850</xdr:rowOff>
        </xdr:to>
        <xdr:sp macro="" textlink="">
          <xdr:nvSpPr>
            <xdr:cNvPr id="13364" name="Check Box 52" hidden="1">
              <a:extLst>
                <a:ext uri="{63B3BB69-23CF-44E3-9099-C40C66FF867C}">
                  <a14:compatExt spid="_x0000_s13364"/>
                </a:ext>
                <a:ext uri="{FF2B5EF4-FFF2-40B4-BE49-F238E27FC236}">
                  <a16:creationId xmlns:a16="http://schemas.microsoft.com/office/drawing/2014/main" id="{00000000-0008-0000-0000-00003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35</xdr:row>
          <xdr:rowOff>85725</xdr:rowOff>
        </xdr:from>
        <xdr:to>
          <xdr:col>5</xdr:col>
          <xdr:colOff>266700</xdr:colOff>
          <xdr:row>35</xdr:row>
          <xdr:rowOff>323850</xdr:rowOff>
        </xdr:to>
        <xdr:sp macro="" textlink="">
          <xdr:nvSpPr>
            <xdr:cNvPr id="13365" name="Check Box 53" hidden="1">
              <a:extLst>
                <a:ext uri="{63B3BB69-23CF-44E3-9099-C40C66FF867C}">
                  <a14:compatExt spid="_x0000_s13365"/>
                </a:ext>
                <a:ext uri="{FF2B5EF4-FFF2-40B4-BE49-F238E27FC236}">
                  <a16:creationId xmlns:a16="http://schemas.microsoft.com/office/drawing/2014/main" id="{00000000-0008-0000-0000-00003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36</xdr:row>
          <xdr:rowOff>85725</xdr:rowOff>
        </xdr:from>
        <xdr:to>
          <xdr:col>5</xdr:col>
          <xdr:colOff>266700</xdr:colOff>
          <xdr:row>36</xdr:row>
          <xdr:rowOff>323850</xdr:rowOff>
        </xdr:to>
        <xdr:sp macro="" textlink="">
          <xdr:nvSpPr>
            <xdr:cNvPr id="13366" name="Check Box 54" hidden="1">
              <a:extLst>
                <a:ext uri="{63B3BB69-23CF-44E3-9099-C40C66FF867C}">
                  <a14:compatExt spid="_x0000_s13366"/>
                </a:ext>
                <a:ext uri="{FF2B5EF4-FFF2-40B4-BE49-F238E27FC236}">
                  <a16:creationId xmlns:a16="http://schemas.microsoft.com/office/drawing/2014/main" id="{00000000-0008-0000-0000-00003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0</xdr:colOff>
      <xdr:row>0</xdr:row>
      <xdr:rowOff>142875</xdr:rowOff>
    </xdr:from>
    <xdr:to>
      <xdr:col>4</xdr:col>
      <xdr:colOff>3303882</xdr:colOff>
      <xdr:row>0</xdr:row>
      <xdr:rowOff>926856</xdr:rowOff>
    </xdr:to>
    <xdr:sp macro="" textlink="">
      <xdr:nvSpPr>
        <xdr:cNvPr id="39" name="Rettangolo con angoli arrotondati 38">
          <a:extLst>
            <a:ext uri="{FF2B5EF4-FFF2-40B4-BE49-F238E27FC236}">
              <a16:creationId xmlns:a16="http://schemas.microsoft.com/office/drawing/2014/main" id="{00000000-0008-0000-0000-000027000000}"/>
            </a:ext>
          </a:extLst>
        </xdr:cNvPr>
        <xdr:cNvSpPr/>
      </xdr:nvSpPr>
      <xdr:spPr>
        <a:xfrm>
          <a:off x="0" y="142875"/>
          <a:ext cx="6095440" cy="78398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it-IT" sz="4400" b="0" i="1" cap="none" spc="0">
              <a:ln w="0"/>
              <a:solidFill>
                <a:schemeClr val="tx1"/>
              </a:solidFill>
              <a:effectLst>
                <a:outerShdw blurRad="38100" dist="19050" dir="2700000" algn="tl" rotWithShape="0">
                  <a:schemeClr val="dk1">
                    <a:alpha val="40000"/>
                  </a:schemeClr>
                </a:outerShdw>
              </a:effectLst>
              <a:latin typeface="Tw Cen MT" panose="020B0602020104020603" pitchFamily="34" charset="0"/>
              <a:ea typeface="Verdana" panose="020B0604030504040204" pitchFamily="34" charset="0"/>
            </a:rPr>
            <a:t>Check</a:t>
          </a:r>
          <a:r>
            <a:rPr lang="it-IT" sz="4400" b="0" i="1" cap="none" spc="0" baseline="0">
              <a:ln w="0"/>
              <a:solidFill>
                <a:schemeClr val="tx1"/>
              </a:solidFill>
              <a:effectLst>
                <a:outerShdw blurRad="38100" dist="19050" dir="2700000" algn="tl" rotWithShape="0">
                  <a:schemeClr val="dk1">
                    <a:alpha val="40000"/>
                  </a:schemeClr>
                </a:outerShdw>
              </a:effectLst>
              <a:latin typeface="Tw Cen MT" panose="020B0602020104020603" pitchFamily="34" charset="0"/>
              <a:ea typeface="Verdana" panose="020B0604030504040204" pitchFamily="34" charset="0"/>
            </a:rPr>
            <a:t> list Adeguati Assetti</a:t>
          </a:r>
          <a:endParaRPr lang="it-IT" sz="4400" b="0" i="1" cap="none" spc="0">
            <a:ln w="0"/>
            <a:solidFill>
              <a:schemeClr val="tx1"/>
            </a:solidFill>
            <a:effectLst>
              <a:outerShdw blurRad="38100" dist="19050" dir="2700000" algn="tl" rotWithShape="0">
                <a:schemeClr val="dk1">
                  <a:alpha val="40000"/>
                </a:schemeClr>
              </a:outerShdw>
            </a:effectLst>
            <a:latin typeface="Tw Cen MT" panose="020B0602020104020603" pitchFamily="34" charset="0"/>
            <a:ea typeface="Verdana" panose="020B0604030504040204" pitchFamily="34" charset="0"/>
          </a:endParaRPr>
        </a:p>
      </xdr:txBody>
    </xdr:sp>
    <xdr:clientData/>
  </xdr:twoCellAnchor>
  <xdr:twoCellAnchor editAs="absolute">
    <xdr:from>
      <xdr:col>4</xdr:col>
      <xdr:colOff>6382734</xdr:colOff>
      <xdr:row>0</xdr:row>
      <xdr:rowOff>0</xdr:rowOff>
    </xdr:from>
    <xdr:to>
      <xdr:col>14</xdr:col>
      <xdr:colOff>408280</xdr:colOff>
      <xdr:row>0</xdr:row>
      <xdr:rowOff>997323</xdr:rowOff>
    </xdr:to>
    <xdr:pic>
      <xdr:nvPicPr>
        <xdr:cNvPr id="40" name="Immagine 39" descr="Immagine che contiene testo, logo, Carattere, simbolo&#10;&#10;Descrizione generata automaticamente">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173559" y="0"/>
          <a:ext cx="2302771" cy="9973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38100</xdr:colOff>
          <xdr:row>11</xdr:row>
          <xdr:rowOff>38100</xdr:rowOff>
        </xdr:from>
        <xdr:to>
          <xdr:col>5</xdr:col>
          <xdr:colOff>257175</xdr:colOff>
          <xdr:row>11</xdr:row>
          <xdr:rowOff>238125</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1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12</xdr:row>
          <xdr:rowOff>38100</xdr:rowOff>
        </xdr:from>
        <xdr:to>
          <xdr:col>5</xdr:col>
          <xdr:colOff>257175</xdr:colOff>
          <xdr:row>12</xdr:row>
          <xdr:rowOff>238125</xdr:rowOff>
        </xdr:to>
        <xdr:sp macro="" textlink="">
          <xdr:nvSpPr>
            <xdr:cNvPr id="7172" name="Check Box 4" hidden="1">
              <a:extLst>
                <a:ext uri="{63B3BB69-23CF-44E3-9099-C40C66FF867C}">
                  <a14:compatExt spid="_x0000_s7172"/>
                </a:ext>
                <a:ext uri="{FF2B5EF4-FFF2-40B4-BE49-F238E27FC236}">
                  <a16:creationId xmlns:a16="http://schemas.microsoft.com/office/drawing/2014/main" id="{00000000-0008-0000-01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13</xdr:row>
          <xdr:rowOff>38100</xdr:rowOff>
        </xdr:from>
        <xdr:to>
          <xdr:col>5</xdr:col>
          <xdr:colOff>257175</xdr:colOff>
          <xdr:row>13</xdr:row>
          <xdr:rowOff>238125</xdr:rowOff>
        </xdr:to>
        <xdr:sp macro="" textlink="">
          <xdr:nvSpPr>
            <xdr:cNvPr id="7173" name="Check Box 5" hidden="1">
              <a:extLst>
                <a:ext uri="{63B3BB69-23CF-44E3-9099-C40C66FF867C}">
                  <a14:compatExt spid="_x0000_s7173"/>
                </a:ext>
                <a:ext uri="{FF2B5EF4-FFF2-40B4-BE49-F238E27FC236}">
                  <a16:creationId xmlns:a16="http://schemas.microsoft.com/office/drawing/2014/main" id="{00000000-0008-0000-0100-00000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14</xdr:row>
          <xdr:rowOff>38100</xdr:rowOff>
        </xdr:from>
        <xdr:to>
          <xdr:col>5</xdr:col>
          <xdr:colOff>257175</xdr:colOff>
          <xdr:row>14</xdr:row>
          <xdr:rowOff>238125</xdr:rowOff>
        </xdr:to>
        <xdr:sp macro="" textlink="">
          <xdr:nvSpPr>
            <xdr:cNvPr id="7174" name="Check Box 6" hidden="1">
              <a:extLst>
                <a:ext uri="{63B3BB69-23CF-44E3-9099-C40C66FF867C}">
                  <a14:compatExt spid="_x0000_s7174"/>
                </a:ext>
                <a:ext uri="{FF2B5EF4-FFF2-40B4-BE49-F238E27FC236}">
                  <a16:creationId xmlns:a16="http://schemas.microsoft.com/office/drawing/2014/main" id="{00000000-0008-0000-0100-00000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15</xdr:row>
          <xdr:rowOff>38100</xdr:rowOff>
        </xdr:from>
        <xdr:to>
          <xdr:col>5</xdr:col>
          <xdr:colOff>257175</xdr:colOff>
          <xdr:row>15</xdr:row>
          <xdr:rowOff>238125</xdr:rowOff>
        </xdr:to>
        <xdr:sp macro="" textlink="">
          <xdr:nvSpPr>
            <xdr:cNvPr id="7175" name="Check Box 7" hidden="1">
              <a:extLst>
                <a:ext uri="{63B3BB69-23CF-44E3-9099-C40C66FF867C}">
                  <a14:compatExt spid="_x0000_s7175"/>
                </a:ext>
                <a:ext uri="{FF2B5EF4-FFF2-40B4-BE49-F238E27FC236}">
                  <a16:creationId xmlns:a16="http://schemas.microsoft.com/office/drawing/2014/main" id="{00000000-0008-0000-0100-00000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16</xdr:row>
          <xdr:rowOff>38100</xdr:rowOff>
        </xdr:from>
        <xdr:to>
          <xdr:col>5</xdr:col>
          <xdr:colOff>257175</xdr:colOff>
          <xdr:row>16</xdr:row>
          <xdr:rowOff>238125</xdr:rowOff>
        </xdr:to>
        <xdr:sp macro="" textlink="">
          <xdr:nvSpPr>
            <xdr:cNvPr id="7176" name="Check Box 8" hidden="1">
              <a:extLst>
                <a:ext uri="{63B3BB69-23CF-44E3-9099-C40C66FF867C}">
                  <a14:compatExt spid="_x0000_s7176"/>
                </a:ext>
                <a:ext uri="{FF2B5EF4-FFF2-40B4-BE49-F238E27FC236}">
                  <a16:creationId xmlns:a16="http://schemas.microsoft.com/office/drawing/2014/main" id="{00000000-0008-0000-0100-00000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17</xdr:row>
          <xdr:rowOff>38100</xdr:rowOff>
        </xdr:from>
        <xdr:to>
          <xdr:col>5</xdr:col>
          <xdr:colOff>257175</xdr:colOff>
          <xdr:row>17</xdr:row>
          <xdr:rowOff>238125</xdr:rowOff>
        </xdr:to>
        <xdr:sp macro="" textlink="">
          <xdr:nvSpPr>
            <xdr:cNvPr id="7177" name="Check Box 9" hidden="1">
              <a:extLst>
                <a:ext uri="{63B3BB69-23CF-44E3-9099-C40C66FF867C}">
                  <a14:compatExt spid="_x0000_s7177"/>
                </a:ext>
                <a:ext uri="{FF2B5EF4-FFF2-40B4-BE49-F238E27FC236}">
                  <a16:creationId xmlns:a16="http://schemas.microsoft.com/office/drawing/2014/main" id="{00000000-0008-0000-0100-00000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18</xdr:row>
          <xdr:rowOff>38100</xdr:rowOff>
        </xdr:from>
        <xdr:to>
          <xdr:col>5</xdr:col>
          <xdr:colOff>257175</xdr:colOff>
          <xdr:row>18</xdr:row>
          <xdr:rowOff>238125</xdr:rowOff>
        </xdr:to>
        <xdr:sp macro="" textlink="">
          <xdr:nvSpPr>
            <xdr:cNvPr id="7178" name="Check Box 10" hidden="1">
              <a:extLst>
                <a:ext uri="{63B3BB69-23CF-44E3-9099-C40C66FF867C}">
                  <a14:compatExt spid="_x0000_s7178"/>
                </a:ext>
                <a:ext uri="{FF2B5EF4-FFF2-40B4-BE49-F238E27FC236}">
                  <a16:creationId xmlns:a16="http://schemas.microsoft.com/office/drawing/2014/main" id="{00000000-0008-0000-0100-00000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19</xdr:row>
          <xdr:rowOff>38100</xdr:rowOff>
        </xdr:from>
        <xdr:to>
          <xdr:col>5</xdr:col>
          <xdr:colOff>257175</xdr:colOff>
          <xdr:row>19</xdr:row>
          <xdr:rowOff>238125</xdr:rowOff>
        </xdr:to>
        <xdr:sp macro="" textlink="">
          <xdr:nvSpPr>
            <xdr:cNvPr id="7179" name="Check Box 11" hidden="1">
              <a:extLst>
                <a:ext uri="{63B3BB69-23CF-44E3-9099-C40C66FF867C}">
                  <a14:compatExt spid="_x0000_s7179"/>
                </a:ext>
                <a:ext uri="{FF2B5EF4-FFF2-40B4-BE49-F238E27FC236}">
                  <a16:creationId xmlns:a16="http://schemas.microsoft.com/office/drawing/2014/main" id="{00000000-0008-0000-0100-00000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20</xdr:row>
          <xdr:rowOff>38100</xdr:rowOff>
        </xdr:from>
        <xdr:to>
          <xdr:col>5</xdr:col>
          <xdr:colOff>257175</xdr:colOff>
          <xdr:row>20</xdr:row>
          <xdr:rowOff>238125</xdr:rowOff>
        </xdr:to>
        <xdr:sp macro="" textlink="">
          <xdr:nvSpPr>
            <xdr:cNvPr id="7180" name="Check Box 12" hidden="1">
              <a:extLst>
                <a:ext uri="{63B3BB69-23CF-44E3-9099-C40C66FF867C}">
                  <a14:compatExt spid="_x0000_s7180"/>
                </a:ext>
                <a:ext uri="{FF2B5EF4-FFF2-40B4-BE49-F238E27FC236}">
                  <a16:creationId xmlns:a16="http://schemas.microsoft.com/office/drawing/2014/main" id="{00000000-0008-0000-0100-00000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6</xdr:row>
          <xdr:rowOff>38100</xdr:rowOff>
        </xdr:from>
        <xdr:to>
          <xdr:col>5</xdr:col>
          <xdr:colOff>257175</xdr:colOff>
          <xdr:row>6</xdr:row>
          <xdr:rowOff>238125</xdr:rowOff>
        </xdr:to>
        <xdr:sp macro="" textlink="">
          <xdr:nvSpPr>
            <xdr:cNvPr id="7181" name="Check Box 13" hidden="1">
              <a:extLst>
                <a:ext uri="{63B3BB69-23CF-44E3-9099-C40C66FF867C}">
                  <a14:compatExt spid="_x0000_s7181"/>
                </a:ext>
                <a:ext uri="{FF2B5EF4-FFF2-40B4-BE49-F238E27FC236}">
                  <a16:creationId xmlns:a16="http://schemas.microsoft.com/office/drawing/2014/main" id="{00000000-0008-0000-0100-00000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7</xdr:row>
          <xdr:rowOff>38100</xdr:rowOff>
        </xdr:from>
        <xdr:to>
          <xdr:col>5</xdr:col>
          <xdr:colOff>257175</xdr:colOff>
          <xdr:row>7</xdr:row>
          <xdr:rowOff>238125</xdr:rowOff>
        </xdr:to>
        <xdr:sp macro="" textlink="">
          <xdr:nvSpPr>
            <xdr:cNvPr id="7182" name="Check Box 14" hidden="1">
              <a:extLst>
                <a:ext uri="{63B3BB69-23CF-44E3-9099-C40C66FF867C}">
                  <a14:compatExt spid="_x0000_s7182"/>
                </a:ext>
                <a:ext uri="{FF2B5EF4-FFF2-40B4-BE49-F238E27FC236}">
                  <a16:creationId xmlns:a16="http://schemas.microsoft.com/office/drawing/2014/main" id="{00000000-0008-0000-0100-00000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xdr:row>
          <xdr:rowOff>38100</xdr:rowOff>
        </xdr:from>
        <xdr:to>
          <xdr:col>5</xdr:col>
          <xdr:colOff>257175</xdr:colOff>
          <xdr:row>8</xdr:row>
          <xdr:rowOff>238125</xdr:rowOff>
        </xdr:to>
        <xdr:sp macro="" textlink="">
          <xdr:nvSpPr>
            <xdr:cNvPr id="7183" name="Check Box 15" hidden="1">
              <a:extLst>
                <a:ext uri="{63B3BB69-23CF-44E3-9099-C40C66FF867C}">
                  <a14:compatExt spid="_x0000_s7183"/>
                </a:ext>
                <a:ext uri="{FF2B5EF4-FFF2-40B4-BE49-F238E27FC236}">
                  <a16:creationId xmlns:a16="http://schemas.microsoft.com/office/drawing/2014/main" id="{00000000-0008-0000-0100-00000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23</xdr:row>
          <xdr:rowOff>38100</xdr:rowOff>
        </xdr:from>
        <xdr:to>
          <xdr:col>5</xdr:col>
          <xdr:colOff>257175</xdr:colOff>
          <xdr:row>28</xdr:row>
          <xdr:rowOff>200025</xdr:rowOff>
        </xdr:to>
        <xdr:sp macro="" textlink="">
          <xdr:nvSpPr>
            <xdr:cNvPr id="7205" name="Check Box 37" hidden="1">
              <a:extLst>
                <a:ext uri="{63B3BB69-23CF-44E3-9099-C40C66FF867C}">
                  <a14:compatExt spid="_x0000_s7205"/>
                </a:ext>
                <a:ext uri="{FF2B5EF4-FFF2-40B4-BE49-F238E27FC236}">
                  <a16:creationId xmlns:a16="http://schemas.microsoft.com/office/drawing/2014/main" id="{00000000-0008-0000-0100-00002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24</xdr:row>
          <xdr:rowOff>38100</xdr:rowOff>
        </xdr:from>
        <xdr:to>
          <xdr:col>5</xdr:col>
          <xdr:colOff>257175</xdr:colOff>
          <xdr:row>28</xdr:row>
          <xdr:rowOff>200025</xdr:rowOff>
        </xdr:to>
        <xdr:sp macro="" textlink="">
          <xdr:nvSpPr>
            <xdr:cNvPr id="7206" name="Check Box 38" hidden="1">
              <a:extLst>
                <a:ext uri="{63B3BB69-23CF-44E3-9099-C40C66FF867C}">
                  <a14:compatExt spid="_x0000_s7206"/>
                </a:ext>
                <a:ext uri="{FF2B5EF4-FFF2-40B4-BE49-F238E27FC236}">
                  <a16:creationId xmlns:a16="http://schemas.microsoft.com/office/drawing/2014/main" id="{00000000-0008-0000-0100-00002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25</xdr:row>
          <xdr:rowOff>38100</xdr:rowOff>
        </xdr:from>
        <xdr:to>
          <xdr:col>5</xdr:col>
          <xdr:colOff>257175</xdr:colOff>
          <xdr:row>28</xdr:row>
          <xdr:rowOff>200025</xdr:rowOff>
        </xdr:to>
        <xdr:sp macro="" textlink="">
          <xdr:nvSpPr>
            <xdr:cNvPr id="7207" name="Check Box 39" hidden="1">
              <a:extLst>
                <a:ext uri="{63B3BB69-23CF-44E3-9099-C40C66FF867C}">
                  <a14:compatExt spid="_x0000_s7207"/>
                </a:ext>
                <a:ext uri="{FF2B5EF4-FFF2-40B4-BE49-F238E27FC236}">
                  <a16:creationId xmlns:a16="http://schemas.microsoft.com/office/drawing/2014/main" id="{00000000-0008-0000-0100-00002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26</xdr:row>
          <xdr:rowOff>38100</xdr:rowOff>
        </xdr:from>
        <xdr:to>
          <xdr:col>5</xdr:col>
          <xdr:colOff>257175</xdr:colOff>
          <xdr:row>28</xdr:row>
          <xdr:rowOff>200025</xdr:rowOff>
        </xdr:to>
        <xdr:sp macro="" textlink="">
          <xdr:nvSpPr>
            <xdr:cNvPr id="7208" name="Check Box 40" hidden="1">
              <a:extLst>
                <a:ext uri="{63B3BB69-23CF-44E3-9099-C40C66FF867C}">
                  <a14:compatExt spid="_x0000_s7208"/>
                </a:ext>
                <a:ext uri="{FF2B5EF4-FFF2-40B4-BE49-F238E27FC236}">
                  <a16:creationId xmlns:a16="http://schemas.microsoft.com/office/drawing/2014/main" id="{00000000-0008-0000-0100-00002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107</xdr:row>
          <xdr:rowOff>19050</xdr:rowOff>
        </xdr:from>
        <xdr:to>
          <xdr:col>6</xdr:col>
          <xdr:colOff>9525</xdr:colOff>
          <xdr:row>107</xdr:row>
          <xdr:rowOff>257175</xdr:rowOff>
        </xdr:to>
        <xdr:sp macro="" textlink="">
          <xdr:nvSpPr>
            <xdr:cNvPr id="7219" name="Check Box 51" hidden="1">
              <a:extLst>
                <a:ext uri="{63B3BB69-23CF-44E3-9099-C40C66FF867C}">
                  <a14:compatExt spid="_x0000_s7219"/>
                </a:ext>
                <a:ext uri="{FF2B5EF4-FFF2-40B4-BE49-F238E27FC236}">
                  <a16:creationId xmlns:a16="http://schemas.microsoft.com/office/drawing/2014/main" id="{00000000-0008-0000-0100-00003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108</xdr:row>
          <xdr:rowOff>0</xdr:rowOff>
        </xdr:from>
        <xdr:to>
          <xdr:col>6</xdr:col>
          <xdr:colOff>0</xdr:colOff>
          <xdr:row>108</xdr:row>
          <xdr:rowOff>238125</xdr:rowOff>
        </xdr:to>
        <xdr:sp macro="" textlink="">
          <xdr:nvSpPr>
            <xdr:cNvPr id="7220" name="Check Box 52" hidden="1">
              <a:extLst>
                <a:ext uri="{63B3BB69-23CF-44E3-9099-C40C66FF867C}">
                  <a14:compatExt spid="_x0000_s7220"/>
                </a:ext>
                <a:ext uri="{FF2B5EF4-FFF2-40B4-BE49-F238E27FC236}">
                  <a16:creationId xmlns:a16="http://schemas.microsoft.com/office/drawing/2014/main" id="{00000000-0008-0000-0100-00003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109</xdr:row>
          <xdr:rowOff>9525</xdr:rowOff>
        </xdr:from>
        <xdr:to>
          <xdr:col>6</xdr:col>
          <xdr:colOff>0</xdr:colOff>
          <xdr:row>109</xdr:row>
          <xdr:rowOff>247650</xdr:rowOff>
        </xdr:to>
        <xdr:sp macro="" textlink="">
          <xdr:nvSpPr>
            <xdr:cNvPr id="7221" name="Check Box 53" hidden="1">
              <a:extLst>
                <a:ext uri="{63B3BB69-23CF-44E3-9099-C40C66FF867C}">
                  <a14:compatExt spid="_x0000_s7221"/>
                </a:ext>
                <a:ext uri="{FF2B5EF4-FFF2-40B4-BE49-F238E27FC236}">
                  <a16:creationId xmlns:a16="http://schemas.microsoft.com/office/drawing/2014/main" id="{00000000-0008-0000-0100-00003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113</xdr:row>
          <xdr:rowOff>19050</xdr:rowOff>
        </xdr:from>
        <xdr:to>
          <xdr:col>5</xdr:col>
          <xdr:colOff>266700</xdr:colOff>
          <xdr:row>113</xdr:row>
          <xdr:rowOff>257175</xdr:rowOff>
        </xdr:to>
        <xdr:sp macro="" textlink="">
          <xdr:nvSpPr>
            <xdr:cNvPr id="7222" name="Check Box 54" hidden="1">
              <a:extLst>
                <a:ext uri="{63B3BB69-23CF-44E3-9099-C40C66FF867C}">
                  <a14:compatExt spid="_x0000_s7222"/>
                </a:ext>
                <a:ext uri="{FF2B5EF4-FFF2-40B4-BE49-F238E27FC236}">
                  <a16:creationId xmlns:a16="http://schemas.microsoft.com/office/drawing/2014/main" id="{00000000-0008-0000-0100-00003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125</xdr:row>
          <xdr:rowOff>0</xdr:rowOff>
        </xdr:from>
        <xdr:to>
          <xdr:col>6</xdr:col>
          <xdr:colOff>9525</xdr:colOff>
          <xdr:row>125</xdr:row>
          <xdr:rowOff>238125</xdr:rowOff>
        </xdr:to>
        <xdr:sp macro="" textlink="">
          <xdr:nvSpPr>
            <xdr:cNvPr id="7224" name="Check Box 56" hidden="1">
              <a:extLst>
                <a:ext uri="{63B3BB69-23CF-44E3-9099-C40C66FF867C}">
                  <a14:compatExt spid="_x0000_s7224"/>
                </a:ext>
                <a:ext uri="{FF2B5EF4-FFF2-40B4-BE49-F238E27FC236}">
                  <a16:creationId xmlns:a16="http://schemas.microsoft.com/office/drawing/2014/main" id="{00000000-0008-0000-0100-00003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126</xdr:row>
          <xdr:rowOff>0</xdr:rowOff>
        </xdr:from>
        <xdr:to>
          <xdr:col>6</xdr:col>
          <xdr:colOff>9525</xdr:colOff>
          <xdr:row>126</xdr:row>
          <xdr:rowOff>238125</xdr:rowOff>
        </xdr:to>
        <xdr:sp macro="" textlink="">
          <xdr:nvSpPr>
            <xdr:cNvPr id="7225" name="Check Box 57" hidden="1">
              <a:extLst>
                <a:ext uri="{63B3BB69-23CF-44E3-9099-C40C66FF867C}">
                  <a14:compatExt spid="_x0000_s7225"/>
                </a:ext>
                <a:ext uri="{FF2B5EF4-FFF2-40B4-BE49-F238E27FC236}">
                  <a16:creationId xmlns:a16="http://schemas.microsoft.com/office/drawing/2014/main" id="{00000000-0008-0000-0100-00003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127</xdr:row>
          <xdr:rowOff>0</xdr:rowOff>
        </xdr:from>
        <xdr:to>
          <xdr:col>6</xdr:col>
          <xdr:colOff>9525</xdr:colOff>
          <xdr:row>127</xdr:row>
          <xdr:rowOff>238125</xdr:rowOff>
        </xdr:to>
        <xdr:sp macro="" textlink="">
          <xdr:nvSpPr>
            <xdr:cNvPr id="7226" name="Check Box 58" hidden="1">
              <a:extLst>
                <a:ext uri="{63B3BB69-23CF-44E3-9099-C40C66FF867C}">
                  <a14:compatExt spid="_x0000_s7226"/>
                </a:ext>
                <a:ext uri="{FF2B5EF4-FFF2-40B4-BE49-F238E27FC236}">
                  <a16:creationId xmlns:a16="http://schemas.microsoft.com/office/drawing/2014/main" id="{00000000-0008-0000-0100-00003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128</xdr:row>
          <xdr:rowOff>0</xdr:rowOff>
        </xdr:from>
        <xdr:to>
          <xdr:col>6</xdr:col>
          <xdr:colOff>9525</xdr:colOff>
          <xdr:row>128</xdr:row>
          <xdr:rowOff>238125</xdr:rowOff>
        </xdr:to>
        <xdr:sp macro="" textlink="">
          <xdr:nvSpPr>
            <xdr:cNvPr id="7227" name="Check Box 59" hidden="1">
              <a:extLst>
                <a:ext uri="{63B3BB69-23CF-44E3-9099-C40C66FF867C}">
                  <a14:compatExt spid="_x0000_s7227"/>
                </a:ext>
                <a:ext uri="{FF2B5EF4-FFF2-40B4-BE49-F238E27FC236}">
                  <a16:creationId xmlns:a16="http://schemas.microsoft.com/office/drawing/2014/main" id="{00000000-0008-0000-0100-00003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129</xdr:row>
          <xdr:rowOff>0</xdr:rowOff>
        </xdr:from>
        <xdr:to>
          <xdr:col>6</xdr:col>
          <xdr:colOff>9525</xdr:colOff>
          <xdr:row>129</xdr:row>
          <xdr:rowOff>238125</xdr:rowOff>
        </xdr:to>
        <xdr:sp macro="" textlink="">
          <xdr:nvSpPr>
            <xdr:cNvPr id="7228" name="Check Box 60" hidden="1">
              <a:extLst>
                <a:ext uri="{63B3BB69-23CF-44E3-9099-C40C66FF867C}">
                  <a14:compatExt spid="_x0000_s7228"/>
                </a:ext>
                <a:ext uri="{FF2B5EF4-FFF2-40B4-BE49-F238E27FC236}">
                  <a16:creationId xmlns:a16="http://schemas.microsoft.com/office/drawing/2014/main" id="{00000000-0008-0000-0100-00003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130</xdr:row>
          <xdr:rowOff>28575</xdr:rowOff>
        </xdr:from>
        <xdr:to>
          <xdr:col>6</xdr:col>
          <xdr:colOff>9525</xdr:colOff>
          <xdr:row>130</xdr:row>
          <xdr:rowOff>266700</xdr:rowOff>
        </xdr:to>
        <xdr:sp macro="" textlink="">
          <xdr:nvSpPr>
            <xdr:cNvPr id="7229" name="Check Box 61" hidden="1">
              <a:extLst>
                <a:ext uri="{63B3BB69-23CF-44E3-9099-C40C66FF867C}">
                  <a14:compatExt spid="_x0000_s7229"/>
                </a:ext>
                <a:ext uri="{FF2B5EF4-FFF2-40B4-BE49-F238E27FC236}">
                  <a16:creationId xmlns:a16="http://schemas.microsoft.com/office/drawing/2014/main" id="{00000000-0008-0000-0100-00003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136</xdr:row>
          <xdr:rowOff>28575</xdr:rowOff>
        </xdr:from>
        <xdr:to>
          <xdr:col>6</xdr:col>
          <xdr:colOff>0</xdr:colOff>
          <xdr:row>136</xdr:row>
          <xdr:rowOff>266700</xdr:rowOff>
        </xdr:to>
        <xdr:sp macro="" textlink="">
          <xdr:nvSpPr>
            <xdr:cNvPr id="7231" name="Check Box 63" hidden="1">
              <a:extLst>
                <a:ext uri="{63B3BB69-23CF-44E3-9099-C40C66FF867C}">
                  <a14:compatExt spid="_x0000_s7231"/>
                </a:ext>
                <a:ext uri="{FF2B5EF4-FFF2-40B4-BE49-F238E27FC236}">
                  <a16:creationId xmlns:a16="http://schemas.microsoft.com/office/drawing/2014/main" id="{00000000-0008-0000-0100-00003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139</xdr:row>
          <xdr:rowOff>28575</xdr:rowOff>
        </xdr:from>
        <xdr:to>
          <xdr:col>6</xdr:col>
          <xdr:colOff>19050</xdr:colOff>
          <xdr:row>139</xdr:row>
          <xdr:rowOff>266700</xdr:rowOff>
        </xdr:to>
        <xdr:sp macro="" textlink="">
          <xdr:nvSpPr>
            <xdr:cNvPr id="7232" name="Check Box 64" hidden="1">
              <a:extLst>
                <a:ext uri="{63B3BB69-23CF-44E3-9099-C40C66FF867C}">
                  <a14:compatExt spid="_x0000_s7232"/>
                </a:ext>
                <a:ext uri="{FF2B5EF4-FFF2-40B4-BE49-F238E27FC236}">
                  <a16:creationId xmlns:a16="http://schemas.microsoft.com/office/drawing/2014/main" id="{00000000-0008-0000-0100-00004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141</xdr:row>
          <xdr:rowOff>28575</xdr:rowOff>
        </xdr:from>
        <xdr:to>
          <xdr:col>6</xdr:col>
          <xdr:colOff>19050</xdr:colOff>
          <xdr:row>141</xdr:row>
          <xdr:rowOff>266700</xdr:rowOff>
        </xdr:to>
        <xdr:sp macro="" textlink="">
          <xdr:nvSpPr>
            <xdr:cNvPr id="7233" name="Check Box 65" hidden="1">
              <a:extLst>
                <a:ext uri="{63B3BB69-23CF-44E3-9099-C40C66FF867C}">
                  <a14:compatExt spid="_x0000_s7233"/>
                </a:ext>
                <a:ext uri="{FF2B5EF4-FFF2-40B4-BE49-F238E27FC236}">
                  <a16:creationId xmlns:a16="http://schemas.microsoft.com/office/drawing/2014/main" id="{00000000-0008-0000-0100-00004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143</xdr:row>
          <xdr:rowOff>28575</xdr:rowOff>
        </xdr:from>
        <xdr:to>
          <xdr:col>6</xdr:col>
          <xdr:colOff>19050</xdr:colOff>
          <xdr:row>143</xdr:row>
          <xdr:rowOff>266700</xdr:rowOff>
        </xdr:to>
        <xdr:sp macro="" textlink="">
          <xdr:nvSpPr>
            <xdr:cNvPr id="7234" name="Check Box 66" hidden="1">
              <a:extLst>
                <a:ext uri="{63B3BB69-23CF-44E3-9099-C40C66FF867C}">
                  <a14:compatExt spid="_x0000_s7234"/>
                </a:ext>
                <a:ext uri="{FF2B5EF4-FFF2-40B4-BE49-F238E27FC236}">
                  <a16:creationId xmlns:a16="http://schemas.microsoft.com/office/drawing/2014/main" id="{00000000-0008-0000-0100-00004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148</xdr:row>
          <xdr:rowOff>76200</xdr:rowOff>
        </xdr:from>
        <xdr:to>
          <xdr:col>6</xdr:col>
          <xdr:colOff>0</xdr:colOff>
          <xdr:row>148</xdr:row>
          <xdr:rowOff>314325</xdr:rowOff>
        </xdr:to>
        <xdr:sp macro="" textlink="">
          <xdr:nvSpPr>
            <xdr:cNvPr id="7235" name="Check Box 67" hidden="1">
              <a:extLst>
                <a:ext uri="{63B3BB69-23CF-44E3-9099-C40C66FF867C}">
                  <a14:compatExt spid="_x0000_s7235"/>
                </a:ext>
                <a:ext uri="{FF2B5EF4-FFF2-40B4-BE49-F238E27FC236}">
                  <a16:creationId xmlns:a16="http://schemas.microsoft.com/office/drawing/2014/main" id="{00000000-0008-0000-0100-00004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0</xdr:row>
          <xdr:rowOff>0</xdr:rowOff>
        </xdr:from>
        <xdr:to>
          <xdr:col>0</xdr:col>
          <xdr:colOff>0</xdr:colOff>
          <xdr:row>0</xdr:row>
          <xdr:rowOff>0</xdr:rowOff>
        </xdr:to>
        <xdr:sp macro="" textlink="">
          <xdr:nvSpPr>
            <xdr:cNvPr id="7248" name="Check Box 80" hidden="1">
              <a:extLst>
                <a:ext uri="{63B3BB69-23CF-44E3-9099-C40C66FF867C}">
                  <a14:compatExt spid="_x0000_s7248"/>
                </a:ext>
                <a:ext uri="{FF2B5EF4-FFF2-40B4-BE49-F238E27FC236}">
                  <a16:creationId xmlns:a16="http://schemas.microsoft.com/office/drawing/2014/main" id="{00000000-0008-0000-0100-00005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29</xdr:row>
          <xdr:rowOff>38100</xdr:rowOff>
        </xdr:from>
        <xdr:to>
          <xdr:col>5</xdr:col>
          <xdr:colOff>257175</xdr:colOff>
          <xdr:row>37</xdr:row>
          <xdr:rowOff>200025</xdr:rowOff>
        </xdr:to>
        <xdr:sp macro="" textlink="">
          <xdr:nvSpPr>
            <xdr:cNvPr id="7251" name="Check Box 83" hidden="1">
              <a:extLst>
                <a:ext uri="{63B3BB69-23CF-44E3-9099-C40C66FF867C}">
                  <a14:compatExt spid="_x0000_s7251"/>
                </a:ext>
                <a:ext uri="{FF2B5EF4-FFF2-40B4-BE49-F238E27FC236}">
                  <a16:creationId xmlns:a16="http://schemas.microsoft.com/office/drawing/2014/main" id="{00000000-0008-0000-0100-00005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30</xdr:row>
          <xdr:rowOff>38100</xdr:rowOff>
        </xdr:from>
        <xdr:to>
          <xdr:col>5</xdr:col>
          <xdr:colOff>257175</xdr:colOff>
          <xdr:row>37</xdr:row>
          <xdr:rowOff>200025</xdr:rowOff>
        </xdr:to>
        <xdr:sp macro="" textlink="">
          <xdr:nvSpPr>
            <xdr:cNvPr id="7252" name="Check Box 84" hidden="1">
              <a:extLst>
                <a:ext uri="{63B3BB69-23CF-44E3-9099-C40C66FF867C}">
                  <a14:compatExt spid="_x0000_s7252"/>
                </a:ext>
                <a:ext uri="{FF2B5EF4-FFF2-40B4-BE49-F238E27FC236}">
                  <a16:creationId xmlns:a16="http://schemas.microsoft.com/office/drawing/2014/main" id="{00000000-0008-0000-0100-00005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31</xdr:row>
          <xdr:rowOff>38100</xdr:rowOff>
        </xdr:from>
        <xdr:to>
          <xdr:col>5</xdr:col>
          <xdr:colOff>257175</xdr:colOff>
          <xdr:row>37</xdr:row>
          <xdr:rowOff>200025</xdr:rowOff>
        </xdr:to>
        <xdr:sp macro="" textlink="">
          <xdr:nvSpPr>
            <xdr:cNvPr id="7253" name="Check Box 85" hidden="1">
              <a:extLst>
                <a:ext uri="{63B3BB69-23CF-44E3-9099-C40C66FF867C}">
                  <a14:compatExt spid="_x0000_s7253"/>
                </a:ext>
                <a:ext uri="{FF2B5EF4-FFF2-40B4-BE49-F238E27FC236}">
                  <a16:creationId xmlns:a16="http://schemas.microsoft.com/office/drawing/2014/main" id="{00000000-0008-0000-0100-00005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32</xdr:row>
          <xdr:rowOff>38100</xdr:rowOff>
        </xdr:from>
        <xdr:to>
          <xdr:col>5</xdr:col>
          <xdr:colOff>257175</xdr:colOff>
          <xdr:row>37</xdr:row>
          <xdr:rowOff>200025</xdr:rowOff>
        </xdr:to>
        <xdr:sp macro="" textlink="">
          <xdr:nvSpPr>
            <xdr:cNvPr id="7254" name="Check Box 86" hidden="1">
              <a:extLst>
                <a:ext uri="{63B3BB69-23CF-44E3-9099-C40C66FF867C}">
                  <a14:compatExt spid="_x0000_s7254"/>
                </a:ext>
                <a:ext uri="{FF2B5EF4-FFF2-40B4-BE49-F238E27FC236}">
                  <a16:creationId xmlns:a16="http://schemas.microsoft.com/office/drawing/2014/main" id="{00000000-0008-0000-0100-00005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33</xdr:row>
          <xdr:rowOff>38100</xdr:rowOff>
        </xdr:from>
        <xdr:to>
          <xdr:col>5</xdr:col>
          <xdr:colOff>257175</xdr:colOff>
          <xdr:row>37</xdr:row>
          <xdr:rowOff>200025</xdr:rowOff>
        </xdr:to>
        <xdr:sp macro="" textlink="">
          <xdr:nvSpPr>
            <xdr:cNvPr id="7255" name="Check Box 87" hidden="1">
              <a:extLst>
                <a:ext uri="{63B3BB69-23CF-44E3-9099-C40C66FF867C}">
                  <a14:compatExt spid="_x0000_s7255"/>
                </a:ext>
                <a:ext uri="{FF2B5EF4-FFF2-40B4-BE49-F238E27FC236}">
                  <a16:creationId xmlns:a16="http://schemas.microsoft.com/office/drawing/2014/main" id="{00000000-0008-0000-0100-00005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34</xdr:row>
          <xdr:rowOff>38100</xdr:rowOff>
        </xdr:from>
        <xdr:to>
          <xdr:col>5</xdr:col>
          <xdr:colOff>257175</xdr:colOff>
          <xdr:row>37</xdr:row>
          <xdr:rowOff>200025</xdr:rowOff>
        </xdr:to>
        <xdr:sp macro="" textlink="">
          <xdr:nvSpPr>
            <xdr:cNvPr id="7256" name="Check Box 88" hidden="1">
              <a:extLst>
                <a:ext uri="{63B3BB69-23CF-44E3-9099-C40C66FF867C}">
                  <a14:compatExt spid="_x0000_s7256"/>
                </a:ext>
                <a:ext uri="{FF2B5EF4-FFF2-40B4-BE49-F238E27FC236}">
                  <a16:creationId xmlns:a16="http://schemas.microsoft.com/office/drawing/2014/main" id="{00000000-0008-0000-0100-00005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35</xdr:row>
          <xdr:rowOff>38100</xdr:rowOff>
        </xdr:from>
        <xdr:to>
          <xdr:col>5</xdr:col>
          <xdr:colOff>257175</xdr:colOff>
          <xdr:row>37</xdr:row>
          <xdr:rowOff>200025</xdr:rowOff>
        </xdr:to>
        <xdr:sp macro="" textlink="">
          <xdr:nvSpPr>
            <xdr:cNvPr id="7257" name="Check Box 89" hidden="1">
              <a:extLst>
                <a:ext uri="{63B3BB69-23CF-44E3-9099-C40C66FF867C}">
                  <a14:compatExt spid="_x0000_s7257"/>
                </a:ext>
                <a:ext uri="{FF2B5EF4-FFF2-40B4-BE49-F238E27FC236}">
                  <a16:creationId xmlns:a16="http://schemas.microsoft.com/office/drawing/2014/main" id="{00000000-0008-0000-0100-00005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38</xdr:row>
          <xdr:rowOff>38100</xdr:rowOff>
        </xdr:from>
        <xdr:to>
          <xdr:col>5</xdr:col>
          <xdr:colOff>257175</xdr:colOff>
          <xdr:row>43</xdr:row>
          <xdr:rowOff>200025</xdr:rowOff>
        </xdr:to>
        <xdr:sp macro="" textlink="">
          <xdr:nvSpPr>
            <xdr:cNvPr id="7258" name="Check Box 90" hidden="1">
              <a:extLst>
                <a:ext uri="{63B3BB69-23CF-44E3-9099-C40C66FF867C}">
                  <a14:compatExt spid="_x0000_s7258"/>
                </a:ext>
                <a:ext uri="{FF2B5EF4-FFF2-40B4-BE49-F238E27FC236}">
                  <a16:creationId xmlns:a16="http://schemas.microsoft.com/office/drawing/2014/main" id="{00000000-0008-0000-0100-00005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39</xdr:row>
          <xdr:rowOff>38100</xdr:rowOff>
        </xdr:from>
        <xdr:to>
          <xdr:col>5</xdr:col>
          <xdr:colOff>257175</xdr:colOff>
          <xdr:row>43</xdr:row>
          <xdr:rowOff>200025</xdr:rowOff>
        </xdr:to>
        <xdr:sp macro="" textlink="">
          <xdr:nvSpPr>
            <xdr:cNvPr id="7259" name="Check Box 91" hidden="1">
              <a:extLst>
                <a:ext uri="{63B3BB69-23CF-44E3-9099-C40C66FF867C}">
                  <a14:compatExt spid="_x0000_s7259"/>
                </a:ext>
                <a:ext uri="{FF2B5EF4-FFF2-40B4-BE49-F238E27FC236}">
                  <a16:creationId xmlns:a16="http://schemas.microsoft.com/office/drawing/2014/main" id="{00000000-0008-0000-0100-00005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40</xdr:row>
          <xdr:rowOff>38100</xdr:rowOff>
        </xdr:from>
        <xdr:to>
          <xdr:col>5</xdr:col>
          <xdr:colOff>257175</xdr:colOff>
          <xdr:row>43</xdr:row>
          <xdr:rowOff>200025</xdr:rowOff>
        </xdr:to>
        <xdr:sp macro="" textlink="">
          <xdr:nvSpPr>
            <xdr:cNvPr id="7260" name="Check Box 92" hidden="1">
              <a:extLst>
                <a:ext uri="{63B3BB69-23CF-44E3-9099-C40C66FF867C}">
                  <a14:compatExt spid="_x0000_s7260"/>
                </a:ext>
                <a:ext uri="{FF2B5EF4-FFF2-40B4-BE49-F238E27FC236}">
                  <a16:creationId xmlns:a16="http://schemas.microsoft.com/office/drawing/2014/main" id="{00000000-0008-0000-0100-00005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41</xdr:row>
          <xdr:rowOff>38100</xdr:rowOff>
        </xdr:from>
        <xdr:to>
          <xdr:col>5</xdr:col>
          <xdr:colOff>257175</xdr:colOff>
          <xdr:row>43</xdr:row>
          <xdr:rowOff>200025</xdr:rowOff>
        </xdr:to>
        <xdr:sp macro="" textlink="">
          <xdr:nvSpPr>
            <xdr:cNvPr id="7261" name="Check Box 93" hidden="1">
              <a:extLst>
                <a:ext uri="{63B3BB69-23CF-44E3-9099-C40C66FF867C}">
                  <a14:compatExt spid="_x0000_s7261"/>
                </a:ext>
                <a:ext uri="{FF2B5EF4-FFF2-40B4-BE49-F238E27FC236}">
                  <a16:creationId xmlns:a16="http://schemas.microsoft.com/office/drawing/2014/main" id="{00000000-0008-0000-0100-00005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44</xdr:row>
          <xdr:rowOff>38100</xdr:rowOff>
        </xdr:from>
        <xdr:to>
          <xdr:col>5</xdr:col>
          <xdr:colOff>257175</xdr:colOff>
          <xdr:row>53</xdr:row>
          <xdr:rowOff>200025</xdr:rowOff>
        </xdr:to>
        <xdr:sp macro="" textlink="">
          <xdr:nvSpPr>
            <xdr:cNvPr id="7262" name="Check Box 94" hidden="1">
              <a:extLst>
                <a:ext uri="{63B3BB69-23CF-44E3-9099-C40C66FF867C}">
                  <a14:compatExt spid="_x0000_s7262"/>
                </a:ext>
                <a:ext uri="{FF2B5EF4-FFF2-40B4-BE49-F238E27FC236}">
                  <a16:creationId xmlns:a16="http://schemas.microsoft.com/office/drawing/2014/main" id="{00000000-0008-0000-0100-00005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45</xdr:row>
          <xdr:rowOff>38100</xdr:rowOff>
        </xdr:from>
        <xdr:to>
          <xdr:col>5</xdr:col>
          <xdr:colOff>257175</xdr:colOff>
          <xdr:row>53</xdr:row>
          <xdr:rowOff>200025</xdr:rowOff>
        </xdr:to>
        <xdr:sp macro="" textlink="">
          <xdr:nvSpPr>
            <xdr:cNvPr id="7263" name="Check Box 95" hidden="1">
              <a:extLst>
                <a:ext uri="{63B3BB69-23CF-44E3-9099-C40C66FF867C}">
                  <a14:compatExt spid="_x0000_s7263"/>
                </a:ext>
                <a:ext uri="{FF2B5EF4-FFF2-40B4-BE49-F238E27FC236}">
                  <a16:creationId xmlns:a16="http://schemas.microsoft.com/office/drawing/2014/main" id="{00000000-0008-0000-0100-00005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46</xdr:row>
          <xdr:rowOff>38100</xdr:rowOff>
        </xdr:from>
        <xdr:to>
          <xdr:col>5</xdr:col>
          <xdr:colOff>257175</xdr:colOff>
          <xdr:row>53</xdr:row>
          <xdr:rowOff>200025</xdr:rowOff>
        </xdr:to>
        <xdr:sp macro="" textlink="">
          <xdr:nvSpPr>
            <xdr:cNvPr id="7264" name="Check Box 96" hidden="1">
              <a:extLst>
                <a:ext uri="{63B3BB69-23CF-44E3-9099-C40C66FF867C}">
                  <a14:compatExt spid="_x0000_s7264"/>
                </a:ext>
                <a:ext uri="{FF2B5EF4-FFF2-40B4-BE49-F238E27FC236}">
                  <a16:creationId xmlns:a16="http://schemas.microsoft.com/office/drawing/2014/main" id="{00000000-0008-0000-0100-00006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47</xdr:row>
          <xdr:rowOff>38100</xdr:rowOff>
        </xdr:from>
        <xdr:to>
          <xdr:col>5</xdr:col>
          <xdr:colOff>257175</xdr:colOff>
          <xdr:row>53</xdr:row>
          <xdr:rowOff>200025</xdr:rowOff>
        </xdr:to>
        <xdr:sp macro="" textlink="">
          <xdr:nvSpPr>
            <xdr:cNvPr id="7265" name="Check Box 97" hidden="1">
              <a:extLst>
                <a:ext uri="{63B3BB69-23CF-44E3-9099-C40C66FF867C}">
                  <a14:compatExt spid="_x0000_s7265"/>
                </a:ext>
                <a:ext uri="{FF2B5EF4-FFF2-40B4-BE49-F238E27FC236}">
                  <a16:creationId xmlns:a16="http://schemas.microsoft.com/office/drawing/2014/main" id="{00000000-0008-0000-0100-00006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48</xdr:row>
          <xdr:rowOff>38100</xdr:rowOff>
        </xdr:from>
        <xdr:to>
          <xdr:col>5</xdr:col>
          <xdr:colOff>257175</xdr:colOff>
          <xdr:row>53</xdr:row>
          <xdr:rowOff>200025</xdr:rowOff>
        </xdr:to>
        <xdr:sp macro="" textlink="">
          <xdr:nvSpPr>
            <xdr:cNvPr id="7266" name="Check Box 98" hidden="1">
              <a:extLst>
                <a:ext uri="{63B3BB69-23CF-44E3-9099-C40C66FF867C}">
                  <a14:compatExt spid="_x0000_s7266"/>
                </a:ext>
                <a:ext uri="{FF2B5EF4-FFF2-40B4-BE49-F238E27FC236}">
                  <a16:creationId xmlns:a16="http://schemas.microsoft.com/office/drawing/2014/main" id="{00000000-0008-0000-0100-00006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49</xdr:row>
          <xdr:rowOff>38100</xdr:rowOff>
        </xdr:from>
        <xdr:to>
          <xdr:col>5</xdr:col>
          <xdr:colOff>257175</xdr:colOff>
          <xdr:row>53</xdr:row>
          <xdr:rowOff>200025</xdr:rowOff>
        </xdr:to>
        <xdr:sp macro="" textlink="">
          <xdr:nvSpPr>
            <xdr:cNvPr id="7267" name="Check Box 99" hidden="1">
              <a:extLst>
                <a:ext uri="{63B3BB69-23CF-44E3-9099-C40C66FF867C}">
                  <a14:compatExt spid="_x0000_s7267"/>
                </a:ext>
                <a:ext uri="{FF2B5EF4-FFF2-40B4-BE49-F238E27FC236}">
                  <a16:creationId xmlns:a16="http://schemas.microsoft.com/office/drawing/2014/main" id="{00000000-0008-0000-0100-00006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50</xdr:row>
          <xdr:rowOff>38100</xdr:rowOff>
        </xdr:from>
        <xdr:to>
          <xdr:col>5</xdr:col>
          <xdr:colOff>257175</xdr:colOff>
          <xdr:row>53</xdr:row>
          <xdr:rowOff>200025</xdr:rowOff>
        </xdr:to>
        <xdr:sp macro="" textlink="">
          <xdr:nvSpPr>
            <xdr:cNvPr id="7268" name="Check Box 100" hidden="1">
              <a:extLst>
                <a:ext uri="{63B3BB69-23CF-44E3-9099-C40C66FF867C}">
                  <a14:compatExt spid="_x0000_s7268"/>
                </a:ext>
                <a:ext uri="{FF2B5EF4-FFF2-40B4-BE49-F238E27FC236}">
                  <a16:creationId xmlns:a16="http://schemas.microsoft.com/office/drawing/2014/main" id="{00000000-0008-0000-0100-00006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51</xdr:row>
          <xdr:rowOff>38100</xdr:rowOff>
        </xdr:from>
        <xdr:to>
          <xdr:col>5</xdr:col>
          <xdr:colOff>257175</xdr:colOff>
          <xdr:row>53</xdr:row>
          <xdr:rowOff>200025</xdr:rowOff>
        </xdr:to>
        <xdr:sp macro="" textlink="">
          <xdr:nvSpPr>
            <xdr:cNvPr id="7269" name="Check Box 101" hidden="1">
              <a:extLst>
                <a:ext uri="{63B3BB69-23CF-44E3-9099-C40C66FF867C}">
                  <a14:compatExt spid="_x0000_s7269"/>
                </a:ext>
                <a:ext uri="{FF2B5EF4-FFF2-40B4-BE49-F238E27FC236}">
                  <a16:creationId xmlns:a16="http://schemas.microsoft.com/office/drawing/2014/main" id="{00000000-0008-0000-0100-00006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54</xdr:row>
          <xdr:rowOff>38100</xdr:rowOff>
        </xdr:from>
        <xdr:to>
          <xdr:col>5</xdr:col>
          <xdr:colOff>257175</xdr:colOff>
          <xdr:row>61</xdr:row>
          <xdr:rowOff>200025</xdr:rowOff>
        </xdr:to>
        <xdr:sp macro="" textlink="">
          <xdr:nvSpPr>
            <xdr:cNvPr id="7271" name="Check Box 103" hidden="1">
              <a:extLst>
                <a:ext uri="{63B3BB69-23CF-44E3-9099-C40C66FF867C}">
                  <a14:compatExt spid="_x0000_s7271"/>
                </a:ext>
                <a:ext uri="{FF2B5EF4-FFF2-40B4-BE49-F238E27FC236}">
                  <a16:creationId xmlns:a16="http://schemas.microsoft.com/office/drawing/2014/main" id="{00000000-0008-0000-0100-00006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55</xdr:row>
          <xdr:rowOff>38100</xdr:rowOff>
        </xdr:from>
        <xdr:to>
          <xdr:col>5</xdr:col>
          <xdr:colOff>257175</xdr:colOff>
          <xdr:row>61</xdr:row>
          <xdr:rowOff>200025</xdr:rowOff>
        </xdr:to>
        <xdr:sp macro="" textlink="">
          <xdr:nvSpPr>
            <xdr:cNvPr id="7272" name="Check Box 104" hidden="1">
              <a:extLst>
                <a:ext uri="{63B3BB69-23CF-44E3-9099-C40C66FF867C}">
                  <a14:compatExt spid="_x0000_s7272"/>
                </a:ext>
                <a:ext uri="{FF2B5EF4-FFF2-40B4-BE49-F238E27FC236}">
                  <a16:creationId xmlns:a16="http://schemas.microsoft.com/office/drawing/2014/main" id="{00000000-0008-0000-0100-00006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56</xdr:row>
          <xdr:rowOff>38100</xdr:rowOff>
        </xdr:from>
        <xdr:to>
          <xdr:col>5</xdr:col>
          <xdr:colOff>257175</xdr:colOff>
          <xdr:row>61</xdr:row>
          <xdr:rowOff>200025</xdr:rowOff>
        </xdr:to>
        <xdr:sp macro="" textlink="">
          <xdr:nvSpPr>
            <xdr:cNvPr id="7273" name="Check Box 105" hidden="1">
              <a:extLst>
                <a:ext uri="{63B3BB69-23CF-44E3-9099-C40C66FF867C}">
                  <a14:compatExt spid="_x0000_s7273"/>
                </a:ext>
                <a:ext uri="{FF2B5EF4-FFF2-40B4-BE49-F238E27FC236}">
                  <a16:creationId xmlns:a16="http://schemas.microsoft.com/office/drawing/2014/main" id="{00000000-0008-0000-0100-00006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57</xdr:row>
          <xdr:rowOff>38100</xdr:rowOff>
        </xdr:from>
        <xdr:to>
          <xdr:col>5</xdr:col>
          <xdr:colOff>257175</xdr:colOff>
          <xdr:row>61</xdr:row>
          <xdr:rowOff>200025</xdr:rowOff>
        </xdr:to>
        <xdr:sp macro="" textlink="">
          <xdr:nvSpPr>
            <xdr:cNvPr id="7274" name="Check Box 106" hidden="1">
              <a:extLst>
                <a:ext uri="{63B3BB69-23CF-44E3-9099-C40C66FF867C}">
                  <a14:compatExt spid="_x0000_s7274"/>
                </a:ext>
                <a:ext uri="{FF2B5EF4-FFF2-40B4-BE49-F238E27FC236}">
                  <a16:creationId xmlns:a16="http://schemas.microsoft.com/office/drawing/2014/main" id="{00000000-0008-0000-0100-00006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58</xdr:row>
          <xdr:rowOff>38100</xdr:rowOff>
        </xdr:from>
        <xdr:to>
          <xdr:col>5</xdr:col>
          <xdr:colOff>257175</xdr:colOff>
          <xdr:row>61</xdr:row>
          <xdr:rowOff>200025</xdr:rowOff>
        </xdr:to>
        <xdr:sp macro="" textlink="">
          <xdr:nvSpPr>
            <xdr:cNvPr id="7275" name="Check Box 107" hidden="1">
              <a:extLst>
                <a:ext uri="{63B3BB69-23CF-44E3-9099-C40C66FF867C}">
                  <a14:compatExt spid="_x0000_s7275"/>
                </a:ext>
                <a:ext uri="{FF2B5EF4-FFF2-40B4-BE49-F238E27FC236}">
                  <a16:creationId xmlns:a16="http://schemas.microsoft.com/office/drawing/2014/main" id="{00000000-0008-0000-0100-00006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59</xdr:row>
          <xdr:rowOff>38100</xdr:rowOff>
        </xdr:from>
        <xdr:to>
          <xdr:col>5</xdr:col>
          <xdr:colOff>257175</xdr:colOff>
          <xdr:row>61</xdr:row>
          <xdr:rowOff>200025</xdr:rowOff>
        </xdr:to>
        <xdr:sp macro="" textlink="">
          <xdr:nvSpPr>
            <xdr:cNvPr id="7276" name="Check Box 108" hidden="1">
              <a:extLst>
                <a:ext uri="{63B3BB69-23CF-44E3-9099-C40C66FF867C}">
                  <a14:compatExt spid="_x0000_s7276"/>
                </a:ext>
                <a:ext uri="{FF2B5EF4-FFF2-40B4-BE49-F238E27FC236}">
                  <a16:creationId xmlns:a16="http://schemas.microsoft.com/office/drawing/2014/main" id="{00000000-0008-0000-0100-00006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62</xdr:row>
          <xdr:rowOff>38100</xdr:rowOff>
        </xdr:from>
        <xdr:to>
          <xdr:col>5</xdr:col>
          <xdr:colOff>257175</xdr:colOff>
          <xdr:row>62</xdr:row>
          <xdr:rowOff>238125</xdr:rowOff>
        </xdr:to>
        <xdr:sp macro="" textlink="">
          <xdr:nvSpPr>
            <xdr:cNvPr id="7277" name="Check Box 109" hidden="1">
              <a:extLst>
                <a:ext uri="{63B3BB69-23CF-44E3-9099-C40C66FF867C}">
                  <a14:compatExt spid="_x0000_s7277"/>
                </a:ext>
                <a:ext uri="{FF2B5EF4-FFF2-40B4-BE49-F238E27FC236}">
                  <a16:creationId xmlns:a16="http://schemas.microsoft.com/office/drawing/2014/main" id="{00000000-0008-0000-0100-00006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63</xdr:row>
          <xdr:rowOff>38100</xdr:rowOff>
        </xdr:from>
        <xdr:to>
          <xdr:col>5</xdr:col>
          <xdr:colOff>257175</xdr:colOff>
          <xdr:row>63</xdr:row>
          <xdr:rowOff>238125</xdr:rowOff>
        </xdr:to>
        <xdr:sp macro="" textlink="">
          <xdr:nvSpPr>
            <xdr:cNvPr id="7278" name="Check Box 110" hidden="1">
              <a:extLst>
                <a:ext uri="{63B3BB69-23CF-44E3-9099-C40C66FF867C}">
                  <a14:compatExt spid="_x0000_s7278"/>
                </a:ext>
                <a:ext uri="{FF2B5EF4-FFF2-40B4-BE49-F238E27FC236}">
                  <a16:creationId xmlns:a16="http://schemas.microsoft.com/office/drawing/2014/main" id="{00000000-0008-0000-0100-00006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64</xdr:row>
          <xdr:rowOff>38100</xdr:rowOff>
        </xdr:from>
        <xdr:to>
          <xdr:col>5</xdr:col>
          <xdr:colOff>257175</xdr:colOff>
          <xdr:row>64</xdr:row>
          <xdr:rowOff>238125</xdr:rowOff>
        </xdr:to>
        <xdr:sp macro="" textlink="">
          <xdr:nvSpPr>
            <xdr:cNvPr id="7279" name="Check Box 111" hidden="1">
              <a:extLst>
                <a:ext uri="{63B3BB69-23CF-44E3-9099-C40C66FF867C}">
                  <a14:compatExt spid="_x0000_s7279"/>
                </a:ext>
                <a:ext uri="{FF2B5EF4-FFF2-40B4-BE49-F238E27FC236}">
                  <a16:creationId xmlns:a16="http://schemas.microsoft.com/office/drawing/2014/main" id="{00000000-0008-0000-0100-00006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65</xdr:row>
          <xdr:rowOff>38100</xdr:rowOff>
        </xdr:from>
        <xdr:to>
          <xdr:col>5</xdr:col>
          <xdr:colOff>257175</xdr:colOff>
          <xdr:row>65</xdr:row>
          <xdr:rowOff>238125</xdr:rowOff>
        </xdr:to>
        <xdr:sp macro="" textlink="">
          <xdr:nvSpPr>
            <xdr:cNvPr id="7280" name="Check Box 112" hidden="1">
              <a:extLst>
                <a:ext uri="{63B3BB69-23CF-44E3-9099-C40C66FF867C}">
                  <a14:compatExt spid="_x0000_s7280"/>
                </a:ext>
                <a:ext uri="{FF2B5EF4-FFF2-40B4-BE49-F238E27FC236}">
                  <a16:creationId xmlns:a16="http://schemas.microsoft.com/office/drawing/2014/main" id="{00000000-0008-0000-0100-00007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72</xdr:row>
          <xdr:rowOff>38100</xdr:rowOff>
        </xdr:from>
        <xdr:to>
          <xdr:col>5</xdr:col>
          <xdr:colOff>257175</xdr:colOff>
          <xdr:row>72</xdr:row>
          <xdr:rowOff>238125</xdr:rowOff>
        </xdr:to>
        <xdr:sp macro="" textlink="">
          <xdr:nvSpPr>
            <xdr:cNvPr id="7282" name="Check Box 114" hidden="1">
              <a:extLst>
                <a:ext uri="{63B3BB69-23CF-44E3-9099-C40C66FF867C}">
                  <a14:compatExt spid="_x0000_s7282"/>
                </a:ext>
                <a:ext uri="{FF2B5EF4-FFF2-40B4-BE49-F238E27FC236}">
                  <a16:creationId xmlns:a16="http://schemas.microsoft.com/office/drawing/2014/main" id="{00000000-0008-0000-0100-00007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73</xdr:row>
          <xdr:rowOff>38100</xdr:rowOff>
        </xdr:from>
        <xdr:to>
          <xdr:col>5</xdr:col>
          <xdr:colOff>257175</xdr:colOff>
          <xdr:row>73</xdr:row>
          <xdr:rowOff>238125</xdr:rowOff>
        </xdr:to>
        <xdr:sp macro="" textlink="">
          <xdr:nvSpPr>
            <xdr:cNvPr id="7283" name="Check Box 115" hidden="1">
              <a:extLst>
                <a:ext uri="{63B3BB69-23CF-44E3-9099-C40C66FF867C}">
                  <a14:compatExt spid="_x0000_s7283"/>
                </a:ext>
                <a:ext uri="{FF2B5EF4-FFF2-40B4-BE49-F238E27FC236}">
                  <a16:creationId xmlns:a16="http://schemas.microsoft.com/office/drawing/2014/main" id="{00000000-0008-0000-0100-00007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74</xdr:row>
          <xdr:rowOff>38100</xdr:rowOff>
        </xdr:from>
        <xdr:to>
          <xdr:col>5</xdr:col>
          <xdr:colOff>257175</xdr:colOff>
          <xdr:row>74</xdr:row>
          <xdr:rowOff>238125</xdr:rowOff>
        </xdr:to>
        <xdr:sp macro="" textlink="">
          <xdr:nvSpPr>
            <xdr:cNvPr id="7285" name="Check Box 117" hidden="1">
              <a:extLst>
                <a:ext uri="{63B3BB69-23CF-44E3-9099-C40C66FF867C}">
                  <a14:compatExt spid="_x0000_s7285"/>
                </a:ext>
                <a:ext uri="{FF2B5EF4-FFF2-40B4-BE49-F238E27FC236}">
                  <a16:creationId xmlns:a16="http://schemas.microsoft.com/office/drawing/2014/main" id="{00000000-0008-0000-0100-00007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75</xdr:row>
          <xdr:rowOff>38100</xdr:rowOff>
        </xdr:from>
        <xdr:to>
          <xdr:col>5</xdr:col>
          <xdr:colOff>257175</xdr:colOff>
          <xdr:row>75</xdr:row>
          <xdr:rowOff>238125</xdr:rowOff>
        </xdr:to>
        <xdr:sp macro="" textlink="">
          <xdr:nvSpPr>
            <xdr:cNvPr id="7287" name="Check Box 119" hidden="1">
              <a:extLst>
                <a:ext uri="{63B3BB69-23CF-44E3-9099-C40C66FF867C}">
                  <a14:compatExt spid="_x0000_s7287"/>
                </a:ext>
                <a:ext uri="{FF2B5EF4-FFF2-40B4-BE49-F238E27FC236}">
                  <a16:creationId xmlns:a16="http://schemas.microsoft.com/office/drawing/2014/main" id="{00000000-0008-0000-0100-00007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80</xdr:row>
          <xdr:rowOff>38100</xdr:rowOff>
        </xdr:from>
        <xdr:to>
          <xdr:col>5</xdr:col>
          <xdr:colOff>257175</xdr:colOff>
          <xdr:row>80</xdr:row>
          <xdr:rowOff>238125</xdr:rowOff>
        </xdr:to>
        <xdr:sp macro="" textlink="">
          <xdr:nvSpPr>
            <xdr:cNvPr id="7292" name="Check Box 124" hidden="1">
              <a:extLst>
                <a:ext uri="{63B3BB69-23CF-44E3-9099-C40C66FF867C}">
                  <a14:compatExt spid="_x0000_s7292"/>
                </a:ext>
                <a:ext uri="{FF2B5EF4-FFF2-40B4-BE49-F238E27FC236}">
                  <a16:creationId xmlns:a16="http://schemas.microsoft.com/office/drawing/2014/main" id="{00000000-0008-0000-0100-00007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81</xdr:row>
          <xdr:rowOff>38100</xdr:rowOff>
        </xdr:from>
        <xdr:to>
          <xdr:col>5</xdr:col>
          <xdr:colOff>257175</xdr:colOff>
          <xdr:row>81</xdr:row>
          <xdr:rowOff>238125</xdr:rowOff>
        </xdr:to>
        <xdr:sp macro="" textlink="">
          <xdr:nvSpPr>
            <xdr:cNvPr id="7293" name="Check Box 125" hidden="1">
              <a:extLst>
                <a:ext uri="{63B3BB69-23CF-44E3-9099-C40C66FF867C}">
                  <a14:compatExt spid="_x0000_s7293"/>
                </a:ext>
                <a:ext uri="{FF2B5EF4-FFF2-40B4-BE49-F238E27FC236}">
                  <a16:creationId xmlns:a16="http://schemas.microsoft.com/office/drawing/2014/main" id="{00000000-0008-0000-0100-00007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82</xdr:row>
          <xdr:rowOff>38100</xdr:rowOff>
        </xdr:from>
        <xdr:to>
          <xdr:col>5</xdr:col>
          <xdr:colOff>257175</xdr:colOff>
          <xdr:row>82</xdr:row>
          <xdr:rowOff>238125</xdr:rowOff>
        </xdr:to>
        <xdr:sp macro="" textlink="">
          <xdr:nvSpPr>
            <xdr:cNvPr id="7294" name="Check Box 126" hidden="1">
              <a:extLst>
                <a:ext uri="{63B3BB69-23CF-44E3-9099-C40C66FF867C}">
                  <a14:compatExt spid="_x0000_s7294"/>
                </a:ext>
                <a:ext uri="{FF2B5EF4-FFF2-40B4-BE49-F238E27FC236}">
                  <a16:creationId xmlns:a16="http://schemas.microsoft.com/office/drawing/2014/main" id="{00000000-0008-0000-0100-00007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133</xdr:row>
          <xdr:rowOff>28575</xdr:rowOff>
        </xdr:from>
        <xdr:to>
          <xdr:col>6</xdr:col>
          <xdr:colOff>19050</xdr:colOff>
          <xdr:row>133</xdr:row>
          <xdr:rowOff>266700</xdr:rowOff>
        </xdr:to>
        <xdr:sp macro="" textlink="">
          <xdr:nvSpPr>
            <xdr:cNvPr id="7295" name="Check Box 127" hidden="1">
              <a:extLst>
                <a:ext uri="{63B3BB69-23CF-44E3-9099-C40C66FF867C}">
                  <a14:compatExt spid="_x0000_s7295"/>
                </a:ext>
                <a:ext uri="{FF2B5EF4-FFF2-40B4-BE49-F238E27FC236}">
                  <a16:creationId xmlns:a16="http://schemas.microsoft.com/office/drawing/2014/main" id="{00000000-0008-0000-0100-00007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71</xdr:row>
          <xdr:rowOff>38100</xdr:rowOff>
        </xdr:from>
        <xdr:to>
          <xdr:col>5</xdr:col>
          <xdr:colOff>257175</xdr:colOff>
          <xdr:row>71</xdr:row>
          <xdr:rowOff>238125</xdr:rowOff>
        </xdr:to>
        <xdr:sp macro="" textlink="">
          <xdr:nvSpPr>
            <xdr:cNvPr id="7299" name="Check Box 131" hidden="1">
              <a:extLst>
                <a:ext uri="{63B3BB69-23CF-44E3-9099-C40C66FF867C}">
                  <a14:compatExt spid="_x0000_s7299"/>
                </a:ext>
                <a:ext uri="{FF2B5EF4-FFF2-40B4-BE49-F238E27FC236}">
                  <a16:creationId xmlns:a16="http://schemas.microsoft.com/office/drawing/2014/main" id="{00000000-0008-0000-0100-00008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68</xdr:row>
          <xdr:rowOff>38100</xdr:rowOff>
        </xdr:from>
        <xdr:to>
          <xdr:col>5</xdr:col>
          <xdr:colOff>257175</xdr:colOff>
          <xdr:row>68</xdr:row>
          <xdr:rowOff>238125</xdr:rowOff>
        </xdr:to>
        <xdr:sp macro="" textlink="">
          <xdr:nvSpPr>
            <xdr:cNvPr id="7301" name="Check Box 133" hidden="1">
              <a:extLst>
                <a:ext uri="{63B3BB69-23CF-44E3-9099-C40C66FF867C}">
                  <a14:compatExt spid="_x0000_s7301"/>
                </a:ext>
                <a:ext uri="{FF2B5EF4-FFF2-40B4-BE49-F238E27FC236}">
                  <a16:creationId xmlns:a16="http://schemas.microsoft.com/office/drawing/2014/main" id="{00000000-0008-0000-0100-00008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83</xdr:row>
          <xdr:rowOff>38100</xdr:rowOff>
        </xdr:from>
        <xdr:to>
          <xdr:col>5</xdr:col>
          <xdr:colOff>257175</xdr:colOff>
          <xdr:row>83</xdr:row>
          <xdr:rowOff>238125</xdr:rowOff>
        </xdr:to>
        <xdr:sp macro="" textlink="">
          <xdr:nvSpPr>
            <xdr:cNvPr id="7302" name="Check Box 134" hidden="1">
              <a:extLst>
                <a:ext uri="{63B3BB69-23CF-44E3-9099-C40C66FF867C}">
                  <a14:compatExt spid="_x0000_s7302"/>
                </a:ext>
                <a:ext uri="{FF2B5EF4-FFF2-40B4-BE49-F238E27FC236}">
                  <a16:creationId xmlns:a16="http://schemas.microsoft.com/office/drawing/2014/main" id="{00000000-0008-0000-0100-00008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84</xdr:row>
          <xdr:rowOff>38100</xdr:rowOff>
        </xdr:from>
        <xdr:to>
          <xdr:col>5</xdr:col>
          <xdr:colOff>257175</xdr:colOff>
          <xdr:row>84</xdr:row>
          <xdr:rowOff>238125</xdr:rowOff>
        </xdr:to>
        <xdr:sp macro="" textlink="">
          <xdr:nvSpPr>
            <xdr:cNvPr id="7303" name="Check Box 135" hidden="1">
              <a:extLst>
                <a:ext uri="{63B3BB69-23CF-44E3-9099-C40C66FF867C}">
                  <a14:compatExt spid="_x0000_s7303"/>
                </a:ext>
                <a:ext uri="{FF2B5EF4-FFF2-40B4-BE49-F238E27FC236}">
                  <a16:creationId xmlns:a16="http://schemas.microsoft.com/office/drawing/2014/main" id="{00000000-0008-0000-0100-00008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86</xdr:row>
          <xdr:rowOff>38100</xdr:rowOff>
        </xdr:from>
        <xdr:to>
          <xdr:col>5</xdr:col>
          <xdr:colOff>257175</xdr:colOff>
          <xdr:row>86</xdr:row>
          <xdr:rowOff>238125</xdr:rowOff>
        </xdr:to>
        <xdr:sp macro="" textlink="">
          <xdr:nvSpPr>
            <xdr:cNvPr id="7305" name="Check Box 137" hidden="1">
              <a:extLst>
                <a:ext uri="{63B3BB69-23CF-44E3-9099-C40C66FF867C}">
                  <a14:compatExt spid="_x0000_s7305"/>
                </a:ext>
                <a:ext uri="{FF2B5EF4-FFF2-40B4-BE49-F238E27FC236}">
                  <a16:creationId xmlns:a16="http://schemas.microsoft.com/office/drawing/2014/main" id="{00000000-0008-0000-0100-00008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131</xdr:row>
          <xdr:rowOff>0</xdr:rowOff>
        </xdr:from>
        <xdr:to>
          <xdr:col>6</xdr:col>
          <xdr:colOff>9525</xdr:colOff>
          <xdr:row>131</xdr:row>
          <xdr:rowOff>238125</xdr:rowOff>
        </xdr:to>
        <xdr:sp macro="" textlink="">
          <xdr:nvSpPr>
            <xdr:cNvPr id="7309" name="Check Box 141" hidden="1">
              <a:extLst>
                <a:ext uri="{63B3BB69-23CF-44E3-9099-C40C66FF867C}">
                  <a14:compatExt spid="_x0000_s7309"/>
                </a:ext>
                <a:ext uri="{FF2B5EF4-FFF2-40B4-BE49-F238E27FC236}">
                  <a16:creationId xmlns:a16="http://schemas.microsoft.com/office/drawing/2014/main" id="{00000000-0008-0000-0100-00008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80</xdr:row>
          <xdr:rowOff>38100</xdr:rowOff>
        </xdr:from>
        <xdr:to>
          <xdr:col>5</xdr:col>
          <xdr:colOff>257175</xdr:colOff>
          <xdr:row>80</xdr:row>
          <xdr:rowOff>238125</xdr:rowOff>
        </xdr:to>
        <xdr:sp macro="" textlink="">
          <xdr:nvSpPr>
            <xdr:cNvPr id="7315" name="Check Box 147" hidden="1">
              <a:extLst>
                <a:ext uri="{63B3BB69-23CF-44E3-9099-C40C66FF867C}">
                  <a14:compatExt spid="_x0000_s7315"/>
                </a:ext>
                <a:ext uri="{FF2B5EF4-FFF2-40B4-BE49-F238E27FC236}">
                  <a16:creationId xmlns:a16="http://schemas.microsoft.com/office/drawing/2014/main" id="{00000000-0008-0000-0100-00009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81</xdr:row>
          <xdr:rowOff>38100</xdr:rowOff>
        </xdr:from>
        <xdr:to>
          <xdr:col>5</xdr:col>
          <xdr:colOff>257175</xdr:colOff>
          <xdr:row>81</xdr:row>
          <xdr:rowOff>238125</xdr:rowOff>
        </xdr:to>
        <xdr:sp macro="" textlink="">
          <xdr:nvSpPr>
            <xdr:cNvPr id="7316" name="Check Box 148" hidden="1">
              <a:extLst>
                <a:ext uri="{63B3BB69-23CF-44E3-9099-C40C66FF867C}">
                  <a14:compatExt spid="_x0000_s7316"/>
                </a:ext>
                <a:ext uri="{FF2B5EF4-FFF2-40B4-BE49-F238E27FC236}">
                  <a16:creationId xmlns:a16="http://schemas.microsoft.com/office/drawing/2014/main" id="{00000000-0008-0000-0100-00009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84</xdr:row>
          <xdr:rowOff>38100</xdr:rowOff>
        </xdr:from>
        <xdr:to>
          <xdr:col>5</xdr:col>
          <xdr:colOff>257175</xdr:colOff>
          <xdr:row>84</xdr:row>
          <xdr:rowOff>238125</xdr:rowOff>
        </xdr:to>
        <xdr:sp macro="" textlink="">
          <xdr:nvSpPr>
            <xdr:cNvPr id="7319" name="Check Box 151" hidden="1">
              <a:extLst>
                <a:ext uri="{63B3BB69-23CF-44E3-9099-C40C66FF867C}">
                  <a14:compatExt spid="_x0000_s7319"/>
                </a:ext>
                <a:ext uri="{FF2B5EF4-FFF2-40B4-BE49-F238E27FC236}">
                  <a16:creationId xmlns:a16="http://schemas.microsoft.com/office/drawing/2014/main" id="{00000000-0008-0000-0100-00009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86</xdr:row>
          <xdr:rowOff>38100</xdr:rowOff>
        </xdr:from>
        <xdr:to>
          <xdr:col>5</xdr:col>
          <xdr:colOff>257175</xdr:colOff>
          <xdr:row>86</xdr:row>
          <xdr:rowOff>238125</xdr:rowOff>
        </xdr:to>
        <xdr:sp macro="" textlink="">
          <xdr:nvSpPr>
            <xdr:cNvPr id="7320" name="Check Box 152" hidden="1">
              <a:extLst>
                <a:ext uri="{63B3BB69-23CF-44E3-9099-C40C66FF867C}">
                  <a14:compatExt spid="_x0000_s7320"/>
                </a:ext>
                <a:ext uri="{FF2B5EF4-FFF2-40B4-BE49-F238E27FC236}">
                  <a16:creationId xmlns:a16="http://schemas.microsoft.com/office/drawing/2014/main" id="{00000000-0008-0000-0100-00009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85</xdr:row>
          <xdr:rowOff>38100</xdr:rowOff>
        </xdr:from>
        <xdr:to>
          <xdr:col>5</xdr:col>
          <xdr:colOff>257175</xdr:colOff>
          <xdr:row>85</xdr:row>
          <xdr:rowOff>238125</xdr:rowOff>
        </xdr:to>
        <xdr:sp macro="" textlink="">
          <xdr:nvSpPr>
            <xdr:cNvPr id="7321" name="Check Box 153" hidden="1">
              <a:extLst>
                <a:ext uri="{63B3BB69-23CF-44E3-9099-C40C66FF867C}">
                  <a14:compatExt spid="_x0000_s7321"/>
                </a:ext>
                <a:ext uri="{FF2B5EF4-FFF2-40B4-BE49-F238E27FC236}">
                  <a16:creationId xmlns:a16="http://schemas.microsoft.com/office/drawing/2014/main" id="{00000000-0008-0000-0100-00009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85</xdr:row>
          <xdr:rowOff>38100</xdr:rowOff>
        </xdr:from>
        <xdr:to>
          <xdr:col>5</xdr:col>
          <xdr:colOff>257175</xdr:colOff>
          <xdr:row>85</xdr:row>
          <xdr:rowOff>238125</xdr:rowOff>
        </xdr:to>
        <xdr:sp macro="" textlink="">
          <xdr:nvSpPr>
            <xdr:cNvPr id="7322" name="Check Box 154" hidden="1">
              <a:extLst>
                <a:ext uri="{63B3BB69-23CF-44E3-9099-C40C66FF867C}">
                  <a14:compatExt spid="_x0000_s7322"/>
                </a:ext>
                <a:ext uri="{FF2B5EF4-FFF2-40B4-BE49-F238E27FC236}">
                  <a16:creationId xmlns:a16="http://schemas.microsoft.com/office/drawing/2014/main" id="{00000000-0008-0000-0100-00009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85</xdr:row>
          <xdr:rowOff>38100</xdr:rowOff>
        </xdr:from>
        <xdr:to>
          <xdr:col>5</xdr:col>
          <xdr:colOff>257175</xdr:colOff>
          <xdr:row>85</xdr:row>
          <xdr:rowOff>238125</xdr:rowOff>
        </xdr:to>
        <xdr:sp macro="" textlink="">
          <xdr:nvSpPr>
            <xdr:cNvPr id="7323" name="Check Box 155" hidden="1">
              <a:extLst>
                <a:ext uri="{63B3BB69-23CF-44E3-9099-C40C66FF867C}">
                  <a14:compatExt spid="_x0000_s7323"/>
                </a:ext>
                <a:ext uri="{FF2B5EF4-FFF2-40B4-BE49-F238E27FC236}">
                  <a16:creationId xmlns:a16="http://schemas.microsoft.com/office/drawing/2014/main" id="{00000000-0008-0000-0100-00009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85</xdr:row>
          <xdr:rowOff>38100</xdr:rowOff>
        </xdr:from>
        <xdr:to>
          <xdr:col>5</xdr:col>
          <xdr:colOff>257175</xdr:colOff>
          <xdr:row>85</xdr:row>
          <xdr:rowOff>238125</xdr:rowOff>
        </xdr:to>
        <xdr:sp macro="" textlink="">
          <xdr:nvSpPr>
            <xdr:cNvPr id="7324" name="Check Box 156" hidden="1">
              <a:extLst>
                <a:ext uri="{63B3BB69-23CF-44E3-9099-C40C66FF867C}">
                  <a14:compatExt spid="_x0000_s7324"/>
                </a:ext>
                <a:ext uri="{FF2B5EF4-FFF2-40B4-BE49-F238E27FC236}">
                  <a16:creationId xmlns:a16="http://schemas.microsoft.com/office/drawing/2014/main" id="{00000000-0008-0000-0100-00009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90</xdr:row>
          <xdr:rowOff>38100</xdr:rowOff>
        </xdr:from>
        <xdr:to>
          <xdr:col>5</xdr:col>
          <xdr:colOff>257175</xdr:colOff>
          <xdr:row>90</xdr:row>
          <xdr:rowOff>238125</xdr:rowOff>
        </xdr:to>
        <xdr:sp macro="" textlink="">
          <xdr:nvSpPr>
            <xdr:cNvPr id="7325" name="Check Box 157" hidden="1">
              <a:extLst>
                <a:ext uri="{63B3BB69-23CF-44E3-9099-C40C66FF867C}">
                  <a14:compatExt spid="_x0000_s7325"/>
                </a:ext>
                <a:ext uri="{FF2B5EF4-FFF2-40B4-BE49-F238E27FC236}">
                  <a16:creationId xmlns:a16="http://schemas.microsoft.com/office/drawing/2014/main" id="{00000000-0008-0000-0100-00009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90</xdr:row>
          <xdr:rowOff>38100</xdr:rowOff>
        </xdr:from>
        <xdr:to>
          <xdr:col>5</xdr:col>
          <xdr:colOff>257175</xdr:colOff>
          <xdr:row>90</xdr:row>
          <xdr:rowOff>238125</xdr:rowOff>
        </xdr:to>
        <xdr:sp macro="" textlink="">
          <xdr:nvSpPr>
            <xdr:cNvPr id="7326" name="Check Box 158" hidden="1">
              <a:extLst>
                <a:ext uri="{63B3BB69-23CF-44E3-9099-C40C66FF867C}">
                  <a14:compatExt spid="_x0000_s7326"/>
                </a:ext>
                <a:ext uri="{FF2B5EF4-FFF2-40B4-BE49-F238E27FC236}">
                  <a16:creationId xmlns:a16="http://schemas.microsoft.com/office/drawing/2014/main" id="{00000000-0008-0000-0100-00009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91</xdr:row>
          <xdr:rowOff>38100</xdr:rowOff>
        </xdr:from>
        <xdr:to>
          <xdr:col>5</xdr:col>
          <xdr:colOff>257175</xdr:colOff>
          <xdr:row>91</xdr:row>
          <xdr:rowOff>238125</xdr:rowOff>
        </xdr:to>
        <xdr:sp macro="" textlink="">
          <xdr:nvSpPr>
            <xdr:cNvPr id="7327" name="Check Box 159" hidden="1">
              <a:extLst>
                <a:ext uri="{63B3BB69-23CF-44E3-9099-C40C66FF867C}">
                  <a14:compatExt spid="_x0000_s7327"/>
                </a:ext>
                <a:ext uri="{FF2B5EF4-FFF2-40B4-BE49-F238E27FC236}">
                  <a16:creationId xmlns:a16="http://schemas.microsoft.com/office/drawing/2014/main" id="{00000000-0008-0000-0100-00009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91</xdr:row>
          <xdr:rowOff>38100</xdr:rowOff>
        </xdr:from>
        <xdr:to>
          <xdr:col>5</xdr:col>
          <xdr:colOff>257175</xdr:colOff>
          <xdr:row>91</xdr:row>
          <xdr:rowOff>238125</xdr:rowOff>
        </xdr:to>
        <xdr:sp macro="" textlink="">
          <xdr:nvSpPr>
            <xdr:cNvPr id="7328" name="Check Box 160" hidden="1">
              <a:extLst>
                <a:ext uri="{63B3BB69-23CF-44E3-9099-C40C66FF867C}">
                  <a14:compatExt spid="_x0000_s7328"/>
                </a:ext>
                <a:ext uri="{FF2B5EF4-FFF2-40B4-BE49-F238E27FC236}">
                  <a16:creationId xmlns:a16="http://schemas.microsoft.com/office/drawing/2014/main" id="{00000000-0008-0000-0100-0000A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92</xdr:row>
          <xdr:rowOff>38100</xdr:rowOff>
        </xdr:from>
        <xdr:to>
          <xdr:col>5</xdr:col>
          <xdr:colOff>257175</xdr:colOff>
          <xdr:row>92</xdr:row>
          <xdr:rowOff>238125</xdr:rowOff>
        </xdr:to>
        <xdr:sp macro="" textlink="">
          <xdr:nvSpPr>
            <xdr:cNvPr id="7329" name="Check Box 161" hidden="1">
              <a:extLst>
                <a:ext uri="{63B3BB69-23CF-44E3-9099-C40C66FF867C}">
                  <a14:compatExt spid="_x0000_s7329"/>
                </a:ext>
                <a:ext uri="{FF2B5EF4-FFF2-40B4-BE49-F238E27FC236}">
                  <a16:creationId xmlns:a16="http://schemas.microsoft.com/office/drawing/2014/main" id="{00000000-0008-0000-0100-0000A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92</xdr:row>
          <xdr:rowOff>38100</xdr:rowOff>
        </xdr:from>
        <xdr:to>
          <xdr:col>5</xdr:col>
          <xdr:colOff>257175</xdr:colOff>
          <xdr:row>92</xdr:row>
          <xdr:rowOff>238125</xdr:rowOff>
        </xdr:to>
        <xdr:sp macro="" textlink="">
          <xdr:nvSpPr>
            <xdr:cNvPr id="7330" name="Check Box 162" hidden="1">
              <a:extLst>
                <a:ext uri="{63B3BB69-23CF-44E3-9099-C40C66FF867C}">
                  <a14:compatExt spid="_x0000_s7330"/>
                </a:ext>
                <a:ext uri="{FF2B5EF4-FFF2-40B4-BE49-F238E27FC236}">
                  <a16:creationId xmlns:a16="http://schemas.microsoft.com/office/drawing/2014/main" id="{00000000-0008-0000-0100-0000A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93</xdr:row>
          <xdr:rowOff>38100</xdr:rowOff>
        </xdr:from>
        <xdr:to>
          <xdr:col>5</xdr:col>
          <xdr:colOff>257175</xdr:colOff>
          <xdr:row>93</xdr:row>
          <xdr:rowOff>238125</xdr:rowOff>
        </xdr:to>
        <xdr:sp macro="" textlink="">
          <xdr:nvSpPr>
            <xdr:cNvPr id="7331" name="Check Box 163" hidden="1">
              <a:extLst>
                <a:ext uri="{63B3BB69-23CF-44E3-9099-C40C66FF867C}">
                  <a14:compatExt spid="_x0000_s7331"/>
                </a:ext>
                <a:ext uri="{FF2B5EF4-FFF2-40B4-BE49-F238E27FC236}">
                  <a16:creationId xmlns:a16="http://schemas.microsoft.com/office/drawing/2014/main" id="{00000000-0008-0000-0100-0000A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93</xdr:row>
          <xdr:rowOff>38100</xdr:rowOff>
        </xdr:from>
        <xdr:to>
          <xdr:col>5</xdr:col>
          <xdr:colOff>257175</xdr:colOff>
          <xdr:row>93</xdr:row>
          <xdr:rowOff>238125</xdr:rowOff>
        </xdr:to>
        <xdr:sp macro="" textlink="">
          <xdr:nvSpPr>
            <xdr:cNvPr id="7332" name="Check Box 164" hidden="1">
              <a:extLst>
                <a:ext uri="{63B3BB69-23CF-44E3-9099-C40C66FF867C}">
                  <a14:compatExt spid="_x0000_s7332"/>
                </a:ext>
                <a:ext uri="{FF2B5EF4-FFF2-40B4-BE49-F238E27FC236}">
                  <a16:creationId xmlns:a16="http://schemas.microsoft.com/office/drawing/2014/main" id="{00000000-0008-0000-0100-0000A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94</xdr:row>
          <xdr:rowOff>38100</xdr:rowOff>
        </xdr:from>
        <xdr:to>
          <xdr:col>5</xdr:col>
          <xdr:colOff>257175</xdr:colOff>
          <xdr:row>94</xdr:row>
          <xdr:rowOff>238125</xdr:rowOff>
        </xdr:to>
        <xdr:sp macro="" textlink="">
          <xdr:nvSpPr>
            <xdr:cNvPr id="7333" name="Check Box 165" hidden="1">
              <a:extLst>
                <a:ext uri="{63B3BB69-23CF-44E3-9099-C40C66FF867C}">
                  <a14:compatExt spid="_x0000_s7333"/>
                </a:ext>
                <a:ext uri="{FF2B5EF4-FFF2-40B4-BE49-F238E27FC236}">
                  <a16:creationId xmlns:a16="http://schemas.microsoft.com/office/drawing/2014/main" id="{00000000-0008-0000-0100-0000A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94</xdr:row>
          <xdr:rowOff>38100</xdr:rowOff>
        </xdr:from>
        <xdr:to>
          <xdr:col>5</xdr:col>
          <xdr:colOff>257175</xdr:colOff>
          <xdr:row>94</xdr:row>
          <xdr:rowOff>238125</xdr:rowOff>
        </xdr:to>
        <xdr:sp macro="" textlink="">
          <xdr:nvSpPr>
            <xdr:cNvPr id="7334" name="Check Box 166" hidden="1">
              <a:extLst>
                <a:ext uri="{63B3BB69-23CF-44E3-9099-C40C66FF867C}">
                  <a14:compatExt spid="_x0000_s7334"/>
                </a:ext>
                <a:ext uri="{FF2B5EF4-FFF2-40B4-BE49-F238E27FC236}">
                  <a16:creationId xmlns:a16="http://schemas.microsoft.com/office/drawing/2014/main" id="{00000000-0008-0000-0100-0000A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95</xdr:row>
          <xdr:rowOff>38100</xdr:rowOff>
        </xdr:from>
        <xdr:to>
          <xdr:col>5</xdr:col>
          <xdr:colOff>257175</xdr:colOff>
          <xdr:row>95</xdr:row>
          <xdr:rowOff>238125</xdr:rowOff>
        </xdr:to>
        <xdr:sp macro="" textlink="">
          <xdr:nvSpPr>
            <xdr:cNvPr id="7335" name="Check Box 167" hidden="1">
              <a:extLst>
                <a:ext uri="{63B3BB69-23CF-44E3-9099-C40C66FF867C}">
                  <a14:compatExt spid="_x0000_s7335"/>
                </a:ext>
                <a:ext uri="{FF2B5EF4-FFF2-40B4-BE49-F238E27FC236}">
                  <a16:creationId xmlns:a16="http://schemas.microsoft.com/office/drawing/2014/main" id="{00000000-0008-0000-0100-0000A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95</xdr:row>
          <xdr:rowOff>38100</xdr:rowOff>
        </xdr:from>
        <xdr:to>
          <xdr:col>5</xdr:col>
          <xdr:colOff>257175</xdr:colOff>
          <xdr:row>95</xdr:row>
          <xdr:rowOff>238125</xdr:rowOff>
        </xdr:to>
        <xdr:sp macro="" textlink="">
          <xdr:nvSpPr>
            <xdr:cNvPr id="7336" name="Check Box 168" hidden="1">
              <a:extLst>
                <a:ext uri="{63B3BB69-23CF-44E3-9099-C40C66FF867C}">
                  <a14:compatExt spid="_x0000_s7336"/>
                </a:ext>
                <a:ext uri="{FF2B5EF4-FFF2-40B4-BE49-F238E27FC236}">
                  <a16:creationId xmlns:a16="http://schemas.microsoft.com/office/drawing/2014/main" id="{00000000-0008-0000-0100-0000A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96</xdr:row>
          <xdr:rowOff>38100</xdr:rowOff>
        </xdr:from>
        <xdr:to>
          <xdr:col>5</xdr:col>
          <xdr:colOff>257175</xdr:colOff>
          <xdr:row>96</xdr:row>
          <xdr:rowOff>238125</xdr:rowOff>
        </xdr:to>
        <xdr:sp macro="" textlink="">
          <xdr:nvSpPr>
            <xdr:cNvPr id="7337" name="Check Box 169" hidden="1">
              <a:extLst>
                <a:ext uri="{63B3BB69-23CF-44E3-9099-C40C66FF867C}">
                  <a14:compatExt spid="_x0000_s7337"/>
                </a:ext>
                <a:ext uri="{FF2B5EF4-FFF2-40B4-BE49-F238E27FC236}">
                  <a16:creationId xmlns:a16="http://schemas.microsoft.com/office/drawing/2014/main" id="{00000000-0008-0000-0100-0000A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96</xdr:row>
          <xdr:rowOff>38100</xdr:rowOff>
        </xdr:from>
        <xdr:to>
          <xdr:col>5</xdr:col>
          <xdr:colOff>257175</xdr:colOff>
          <xdr:row>96</xdr:row>
          <xdr:rowOff>238125</xdr:rowOff>
        </xdr:to>
        <xdr:sp macro="" textlink="">
          <xdr:nvSpPr>
            <xdr:cNvPr id="7338" name="Check Box 170" hidden="1">
              <a:extLst>
                <a:ext uri="{63B3BB69-23CF-44E3-9099-C40C66FF867C}">
                  <a14:compatExt spid="_x0000_s7338"/>
                </a:ext>
                <a:ext uri="{FF2B5EF4-FFF2-40B4-BE49-F238E27FC236}">
                  <a16:creationId xmlns:a16="http://schemas.microsoft.com/office/drawing/2014/main" id="{00000000-0008-0000-0100-0000A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97</xdr:row>
          <xdr:rowOff>38100</xdr:rowOff>
        </xdr:from>
        <xdr:to>
          <xdr:col>5</xdr:col>
          <xdr:colOff>257175</xdr:colOff>
          <xdr:row>97</xdr:row>
          <xdr:rowOff>238125</xdr:rowOff>
        </xdr:to>
        <xdr:sp macro="" textlink="">
          <xdr:nvSpPr>
            <xdr:cNvPr id="7339" name="Check Box 171" hidden="1">
              <a:extLst>
                <a:ext uri="{63B3BB69-23CF-44E3-9099-C40C66FF867C}">
                  <a14:compatExt spid="_x0000_s7339"/>
                </a:ext>
                <a:ext uri="{FF2B5EF4-FFF2-40B4-BE49-F238E27FC236}">
                  <a16:creationId xmlns:a16="http://schemas.microsoft.com/office/drawing/2014/main" id="{00000000-0008-0000-0100-0000A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97</xdr:row>
          <xdr:rowOff>38100</xdr:rowOff>
        </xdr:from>
        <xdr:to>
          <xdr:col>5</xdr:col>
          <xdr:colOff>257175</xdr:colOff>
          <xdr:row>97</xdr:row>
          <xdr:rowOff>238125</xdr:rowOff>
        </xdr:to>
        <xdr:sp macro="" textlink="">
          <xdr:nvSpPr>
            <xdr:cNvPr id="7340" name="Check Box 172" hidden="1">
              <a:extLst>
                <a:ext uri="{63B3BB69-23CF-44E3-9099-C40C66FF867C}">
                  <a14:compatExt spid="_x0000_s7340"/>
                </a:ext>
                <a:ext uri="{FF2B5EF4-FFF2-40B4-BE49-F238E27FC236}">
                  <a16:creationId xmlns:a16="http://schemas.microsoft.com/office/drawing/2014/main" id="{00000000-0008-0000-0100-0000A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98</xdr:row>
          <xdr:rowOff>38100</xdr:rowOff>
        </xdr:from>
        <xdr:to>
          <xdr:col>5</xdr:col>
          <xdr:colOff>257175</xdr:colOff>
          <xdr:row>98</xdr:row>
          <xdr:rowOff>238125</xdr:rowOff>
        </xdr:to>
        <xdr:sp macro="" textlink="">
          <xdr:nvSpPr>
            <xdr:cNvPr id="7341" name="Check Box 173" hidden="1">
              <a:extLst>
                <a:ext uri="{63B3BB69-23CF-44E3-9099-C40C66FF867C}">
                  <a14:compatExt spid="_x0000_s7341"/>
                </a:ext>
                <a:ext uri="{FF2B5EF4-FFF2-40B4-BE49-F238E27FC236}">
                  <a16:creationId xmlns:a16="http://schemas.microsoft.com/office/drawing/2014/main" id="{00000000-0008-0000-0100-0000A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98</xdr:row>
          <xdr:rowOff>38100</xdr:rowOff>
        </xdr:from>
        <xdr:to>
          <xdr:col>5</xdr:col>
          <xdr:colOff>257175</xdr:colOff>
          <xdr:row>98</xdr:row>
          <xdr:rowOff>238125</xdr:rowOff>
        </xdr:to>
        <xdr:sp macro="" textlink="">
          <xdr:nvSpPr>
            <xdr:cNvPr id="7342" name="Check Box 174" hidden="1">
              <a:extLst>
                <a:ext uri="{63B3BB69-23CF-44E3-9099-C40C66FF867C}">
                  <a14:compatExt spid="_x0000_s7342"/>
                </a:ext>
                <a:ext uri="{FF2B5EF4-FFF2-40B4-BE49-F238E27FC236}">
                  <a16:creationId xmlns:a16="http://schemas.microsoft.com/office/drawing/2014/main" id="{00000000-0008-0000-0100-0000A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102</xdr:row>
          <xdr:rowOff>38100</xdr:rowOff>
        </xdr:from>
        <xdr:to>
          <xdr:col>5</xdr:col>
          <xdr:colOff>257175</xdr:colOff>
          <xdr:row>102</xdr:row>
          <xdr:rowOff>238125</xdr:rowOff>
        </xdr:to>
        <xdr:sp macro="" textlink="">
          <xdr:nvSpPr>
            <xdr:cNvPr id="7345" name="Check Box 177" hidden="1">
              <a:extLst>
                <a:ext uri="{63B3BB69-23CF-44E3-9099-C40C66FF867C}">
                  <a14:compatExt spid="_x0000_s7345"/>
                </a:ext>
                <a:ext uri="{FF2B5EF4-FFF2-40B4-BE49-F238E27FC236}">
                  <a16:creationId xmlns:a16="http://schemas.microsoft.com/office/drawing/2014/main" id="{00000000-0008-0000-0100-0000B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102</xdr:row>
          <xdr:rowOff>38100</xdr:rowOff>
        </xdr:from>
        <xdr:to>
          <xdr:col>5</xdr:col>
          <xdr:colOff>257175</xdr:colOff>
          <xdr:row>102</xdr:row>
          <xdr:rowOff>238125</xdr:rowOff>
        </xdr:to>
        <xdr:sp macro="" textlink="">
          <xdr:nvSpPr>
            <xdr:cNvPr id="7346" name="Check Box 178" hidden="1">
              <a:extLst>
                <a:ext uri="{63B3BB69-23CF-44E3-9099-C40C66FF867C}">
                  <a14:compatExt spid="_x0000_s7346"/>
                </a:ext>
                <a:ext uri="{FF2B5EF4-FFF2-40B4-BE49-F238E27FC236}">
                  <a16:creationId xmlns:a16="http://schemas.microsoft.com/office/drawing/2014/main" id="{00000000-0008-0000-0100-0000B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99</xdr:row>
          <xdr:rowOff>38100</xdr:rowOff>
        </xdr:from>
        <xdr:to>
          <xdr:col>5</xdr:col>
          <xdr:colOff>257175</xdr:colOff>
          <xdr:row>99</xdr:row>
          <xdr:rowOff>238125</xdr:rowOff>
        </xdr:to>
        <xdr:sp macro="" textlink="">
          <xdr:nvSpPr>
            <xdr:cNvPr id="7356" name="Check Box 188" hidden="1">
              <a:extLst>
                <a:ext uri="{63B3BB69-23CF-44E3-9099-C40C66FF867C}">
                  <a14:compatExt spid="_x0000_s7356"/>
                </a:ext>
                <a:ext uri="{FF2B5EF4-FFF2-40B4-BE49-F238E27FC236}">
                  <a16:creationId xmlns:a16="http://schemas.microsoft.com/office/drawing/2014/main" id="{00000000-0008-0000-0100-0000B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99</xdr:row>
          <xdr:rowOff>38100</xdr:rowOff>
        </xdr:from>
        <xdr:to>
          <xdr:col>5</xdr:col>
          <xdr:colOff>257175</xdr:colOff>
          <xdr:row>99</xdr:row>
          <xdr:rowOff>238125</xdr:rowOff>
        </xdr:to>
        <xdr:sp macro="" textlink="">
          <xdr:nvSpPr>
            <xdr:cNvPr id="7357" name="Check Box 189" hidden="1">
              <a:extLst>
                <a:ext uri="{63B3BB69-23CF-44E3-9099-C40C66FF867C}">
                  <a14:compatExt spid="_x0000_s7357"/>
                </a:ext>
                <a:ext uri="{FF2B5EF4-FFF2-40B4-BE49-F238E27FC236}">
                  <a16:creationId xmlns:a16="http://schemas.microsoft.com/office/drawing/2014/main" id="{00000000-0008-0000-0100-0000B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132</xdr:row>
          <xdr:rowOff>0</xdr:rowOff>
        </xdr:from>
        <xdr:to>
          <xdr:col>6</xdr:col>
          <xdr:colOff>9525</xdr:colOff>
          <xdr:row>132</xdr:row>
          <xdr:rowOff>238125</xdr:rowOff>
        </xdr:to>
        <xdr:sp macro="" textlink="">
          <xdr:nvSpPr>
            <xdr:cNvPr id="7371" name="Check Box 203" hidden="1">
              <a:extLst>
                <a:ext uri="{63B3BB69-23CF-44E3-9099-C40C66FF867C}">
                  <a14:compatExt spid="_x0000_s7371"/>
                </a:ext>
                <a:ext uri="{FF2B5EF4-FFF2-40B4-BE49-F238E27FC236}">
                  <a16:creationId xmlns:a16="http://schemas.microsoft.com/office/drawing/2014/main" id="{00000000-0008-0000-0100-0000C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134</xdr:row>
          <xdr:rowOff>28575</xdr:rowOff>
        </xdr:from>
        <xdr:to>
          <xdr:col>6</xdr:col>
          <xdr:colOff>19050</xdr:colOff>
          <xdr:row>134</xdr:row>
          <xdr:rowOff>266700</xdr:rowOff>
        </xdr:to>
        <xdr:sp macro="" textlink="">
          <xdr:nvSpPr>
            <xdr:cNvPr id="7372" name="Check Box 204" hidden="1">
              <a:extLst>
                <a:ext uri="{63B3BB69-23CF-44E3-9099-C40C66FF867C}">
                  <a14:compatExt spid="_x0000_s7372"/>
                </a:ext>
                <a:ext uri="{FF2B5EF4-FFF2-40B4-BE49-F238E27FC236}">
                  <a16:creationId xmlns:a16="http://schemas.microsoft.com/office/drawing/2014/main" id="{00000000-0008-0000-0100-0000C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137</xdr:row>
          <xdr:rowOff>28575</xdr:rowOff>
        </xdr:from>
        <xdr:to>
          <xdr:col>6</xdr:col>
          <xdr:colOff>19050</xdr:colOff>
          <xdr:row>137</xdr:row>
          <xdr:rowOff>266700</xdr:rowOff>
        </xdr:to>
        <xdr:sp macro="" textlink="">
          <xdr:nvSpPr>
            <xdr:cNvPr id="7375" name="Check Box 207" hidden="1">
              <a:extLst>
                <a:ext uri="{63B3BB69-23CF-44E3-9099-C40C66FF867C}">
                  <a14:compatExt spid="_x0000_s7375"/>
                </a:ext>
                <a:ext uri="{FF2B5EF4-FFF2-40B4-BE49-F238E27FC236}">
                  <a16:creationId xmlns:a16="http://schemas.microsoft.com/office/drawing/2014/main" id="{00000000-0008-0000-0100-0000C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144</xdr:row>
          <xdr:rowOff>28575</xdr:rowOff>
        </xdr:from>
        <xdr:to>
          <xdr:col>6</xdr:col>
          <xdr:colOff>19050</xdr:colOff>
          <xdr:row>144</xdr:row>
          <xdr:rowOff>266700</xdr:rowOff>
        </xdr:to>
        <xdr:sp macro="" textlink="">
          <xdr:nvSpPr>
            <xdr:cNvPr id="7378" name="Check Box 210" hidden="1">
              <a:extLst>
                <a:ext uri="{63B3BB69-23CF-44E3-9099-C40C66FF867C}">
                  <a14:compatExt spid="_x0000_s7378"/>
                </a:ext>
                <a:ext uri="{FF2B5EF4-FFF2-40B4-BE49-F238E27FC236}">
                  <a16:creationId xmlns:a16="http://schemas.microsoft.com/office/drawing/2014/main" id="{00000000-0008-0000-0100-0000D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145</xdr:row>
          <xdr:rowOff>28575</xdr:rowOff>
        </xdr:from>
        <xdr:to>
          <xdr:col>6</xdr:col>
          <xdr:colOff>19050</xdr:colOff>
          <xdr:row>145</xdr:row>
          <xdr:rowOff>266700</xdr:rowOff>
        </xdr:to>
        <xdr:sp macro="" textlink="">
          <xdr:nvSpPr>
            <xdr:cNvPr id="7379" name="Check Box 211" hidden="1">
              <a:extLst>
                <a:ext uri="{63B3BB69-23CF-44E3-9099-C40C66FF867C}">
                  <a14:compatExt spid="_x0000_s7379"/>
                </a:ext>
                <a:ext uri="{FF2B5EF4-FFF2-40B4-BE49-F238E27FC236}">
                  <a16:creationId xmlns:a16="http://schemas.microsoft.com/office/drawing/2014/main" id="{00000000-0008-0000-0100-0000D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146</xdr:row>
          <xdr:rowOff>28575</xdr:rowOff>
        </xdr:from>
        <xdr:to>
          <xdr:col>6</xdr:col>
          <xdr:colOff>19050</xdr:colOff>
          <xdr:row>146</xdr:row>
          <xdr:rowOff>266700</xdr:rowOff>
        </xdr:to>
        <xdr:sp macro="" textlink="">
          <xdr:nvSpPr>
            <xdr:cNvPr id="7380" name="Check Box 212" hidden="1">
              <a:extLst>
                <a:ext uri="{63B3BB69-23CF-44E3-9099-C40C66FF867C}">
                  <a14:compatExt spid="_x0000_s7380"/>
                </a:ext>
                <a:ext uri="{FF2B5EF4-FFF2-40B4-BE49-F238E27FC236}">
                  <a16:creationId xmlns:a16="http://schemas.microsoft.com/office/drawing/2014/main" id="{00000000-0008-0000-0100-0000D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122</xdr:row>
          <xdr:rowOff>0</xdr:rowOff>
        </xdr:from>
        <xdr:to>
          <xdr:col>6</xdr:col>
          <xdr:colOff>9525</xdr:colOff>
          <xdr:row>122</xdr:row>
          <xdr:rowOff>238125</xdr:rowOff>
        </xdr:to>
        <xdr:sp macro="" textlink="">
          <xdr:nvSpPr>
            <xdr:cNvPr id="7381" name="Check Box 213" hidden="1">
              <a:extLst>
                <a:ext uri="{63B3BB69-23CF-44E3-9099-C40C66FF867C}">
                  <a14:compatExt spid="_x0000_s7381"/>
                </a:ext>
                <a:ext uri="{FF2B5EF4-FFF2-40B4-BE49-F238E27FC236}">
                  <a16:creationId xmlns:a16="http://schemas.microsoft.com/office/drawing/2014/main" id="{00000000-0008-0000-0100-0000D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121</xdr:row>
          <xdr:rowOff>0</xdr:rowOff>
        </xdr:from>
        <xdr:to>
          <xdr:col>6</xdr:col>
          <xdr:colOff>9525</xdr:colOff>
          <xdr:row>121</xdr:row>
          <xdr:rowOff>238125</xdr:rowOff>
        </xdr:to>
        <xdr:sp macro="" textlink="">
          <xdr:nvSpPr>
            <xdr:cNvPr id="7382" name="Check Box 214" hidden="1">
              <a:extLst>
                <a:ext uri="{63B3BB69-23CF-44E3-9099-C40C66FF867C}">
                  <a14:compatExt spid="_x0000_s7382"/>
                </a:ext>
                <a:ext uri="{FF2B5EF4-FFF2-40B4-BE49-F238E27FC236}">
                  <a16:creationId xmlns:a16="http://schemas.microsoft.com/office/drawing/2014/main" id="{00000000-0008-0000-0100-0000D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xdr:row>
          <xdr:rowOff>9525</xdr:rowOff>
        </xdr:from>
        <xdr:to>
          <xdr:col>6</xdr:col>
          <xdr:colOff>0</xdr:colOff>
          <xdr:row>3</xdr:row>
          <xdr:rowOff>247650</xdr:rowOff>
        </xdr:to>
        <xdr:sp macro="" textlink="">
          <xdr:nvSpPr>
            <xdr:cNvPr id="7383" name="Check Box 215" hidden="1">
              <a:extLst>
                <a:ext uri="{63B3BB69-23CF-44E3-9099-C40C66FF867C}">
                  <a14:compatExt spid="_x0000_s7383"/>
                </a:ext>
                <a:ext uri="{FF2B5EF4-FFF2-40B4-BE49-F238E27FC236}">
                  <a16:creationId xmlns:a16="http://schemas.microsoft.com/office/drawing/2014/main" id="{00000000-0008-0000-0100-0000D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149</xdr:row>
          <xdr:rowOff>76200</xdr:rowOff>
        </xdr:from>
        <xdr:to>
          <xdr:col>6</xdr:col>
          <xdr:colOff>0</xdr:colOff>
          <xdr:row>149</xdr:row>
          <xdr:rowOff>314325</xdr:rowOff>
        </xdr:to>
        <xdr:sp macro="" textlink="">
          <xdr:nvSpPr>
            <xdr:cNvPr id="7384" name="Check Box 216" hidden="1">
              <a:extLst>
                <a:ext uri="{63B3BB69-23CF-44E3-9099-C40C66FF867C}">
                  <a14:compatExt spid="_x0000_s7384"/>
                </a:ext>
                <a:ext uri="{FF2B5EF4-FFF2-40B4-BE49-F238E27FC236}">
                  <a16:creationId xmlns:a16="http://schemas.microsoft.com/office/drawing/2014/main" id="{00000000-0008-0000-0100-0000D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150</xdr:row>
          <xdr:rowOff>76200</xdr:rowOff>
        </xdr:from>
        <xdr:to>
          <xdr:col>6</xdr:col>
          <xdr:colOff>0</xdr:colOff>
          <xdr:row>150</xdr:row>
          <xdr:rowOff>314325</xdr:rowOff>
        </xdr:to>
        <xdr:sp macro="" textlink="">
          <xdr:nvSpPr>
            <xdr:cNvPr id="7385" name="Check Box 217" hidden="1">
              <a:extLst>
                <a:ext uri="{63B3BB69-23CF-44E3-9099-C40C66FF867C}">
                  <a14:compatExt spid="_x0000_s7385"/>
                </a:ext>
                <a:ext uri="{FF2B5EF4-FFF2-40B4-BE49-F238E27FC236}">
                  <a16:creationId xmlns:a16="http://schemas.microsoft.com/office/drawing/2014/main" id="{00000000-0008-0000-0100-0000D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3400425</xdr:colOff>
      <xdr:row>1</xdr:row>
      <xdr:rowOff>9525</xdr:rowOff>
    </xdr:from>
    <xdr:to>
      <xdr:col>4</xdr:col>
      <xdr:colOff>4543425</xdr:colOff>
      <xdr:row>1</xdr:row>
      <xdr:rowOff>552450</xdr:rowOff>
    </xdr:to>
    <xdr:sp macro="" textlink="">
      <xdr:nvSpPr>
        <xdr:cNvPr id="5" name="Rettangolo con angoli arrotondati 4">
          <a:hlinkClick xmlns:r="http://schemas.openxmlformats.org/officeDocument/2006/relationships" r:id="rId1"/>
          <a:extLst>
            <a:ext uri="{FF2B5EF4-FFF2-40B4-BE49-F238E27FC236}">
              <a16:creationId xmlns:a16="http://schemas.microsoft.com/office/drawing/2014/main" id="{00000000-0008-0000-0100-000005000000}"/>
            </a:ext>
          </a:extLst>
        </xdr:cNvPr>
        <xdr:cNvSpPr/>
      </xdr:nvSpPr>
      <xdr:spPr>
        <a:xfrm>
          <a:off x="5852077" y="1193938"/>
          <a:ext cx="1143000" cy="542925"/>
        </a:xfrm>
        <a:prstGeom prst="roundRect">
          <a:avLst/>
        </a:prstGeom>
        <a:solidFill>
          <a:srgbClr val="00919E"/>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SEZIONI 5-6</a:t>
          </a:r>
        </a:p>
      </xdr:txBody>
    </xdr:sp>
    <xdr:clientData/>
  </xdr:twoCellAnchor>
  <xdr:twoCellAnchor>
    <xdr:from>
      <xdr:col>4</xdr:col>
      <xdr:colOff>1685925</xdr:colOff>
      <xdr:row>1</xdr:row>
      <xdr:rowOff>9525</xdr:rowOff>
    </xdr:from>
    <xdr:to>
      <xdr:col>4</xdr:col>
      <xdr:colOff>2828925</xdr:colOff>
      <xdr:row>1</xdr:row>
      <xdr:rowOff>552450</xdr:rowOff>
    </xdr:to>
    <xdr:sp macro="" textlink="">
      <xdr:nvSpPr>
        <xdr:cNvPr id="7" name="Rettangolo con angoli arrotondati 6">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137577" y="1193938"/>
          <a:ext cx="1143000" cy="542925"/>
        </a:xfrm>
        <a:prstGeom prst="roundRect">
          <a:avLst/>
        </a:prstGeom>
        <a:solidFill>
          <a:srgbClr val="829E15"/>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SEZIONI 3-4</a:t>
          </a:r>
        </a:p>
      </xdr:txBody>
    </xdr:sp>
    <xdr:clientData/>
  </xdr:twoCellAnchor>
  <xdr:twoCellAnchor>
    <xdr:from>
      <xdr:col>4</xdr:col>
      <xdr:colOff>5143500</xdr:colOff>
      <xdr:row>1</xdr:row>
      <xdr:rowOff>0</xdr:rowOff>
    </xdr:from>
    <xdr:to>
      <xdr:col>4</xdr:col>
      <xdr:colOff>6286500</xdr:colOff>
      <xdr:row>1</xdr:row>
      <xdr:rowOff>542925</xdr:rowOff>
    </xdr:to>
    <xdr:sp macro="" textlink="">
      <xdr:nvSpPr>
        <xdr:cNvPr id="8" name="Rettangolo con angoli arrotondati 7">
          <a:hlinkClick xmlns:r="http://schemas.openxmlformats.org/officeDocument/2006/relationships" r:id="rId3"/>
          <a:extLst>
            <a:ext uri="{FF2B5EF4-FFF2-40B4-BE49-F238E27FC236}">
              <a16:creationId xmlns:a16="http://schemas.microsoft.com/office/drawing/2014/main" id="{00000000-0008-0000-0100-000008000000}"/>
            </a:ext>
          </a:extLst>
        </xdr:cNvPr>
        <xdr:cNvSpPr/>
      </xdr:nvSpPr>
      <xdr:spPr>
        <a:xfrm>
          <a:off x="7595152" y="1184413"/>
          <a:ext cx="1143000" cy="542925"/>
        </a:xfrm>
        <a:prstGeom prst="roundRect">
          <a:avLst/>
        </a:prstGeom>
        <a:solidFill>
          <a:srgbClr val="00919E"/>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RELAZIONE</a:t>
          </a:r>
          <a:r>
            <a:rPr lang="it-IT" sz="1100" baseline="0">
              <a:ln>
                <a:solidFill>
                  <a:schemeClr val="bg1"/>
                </a:solidFill>
              </a:ln>
              <a:solidFill>
                <a:schemeClr val="lt1"/>
              </a:solidFill>
              <a:latin typeface="+mn-lt"/>
              <a:ea typeface="+mn-ea"/>
              <a:cs typeface="+mn-cs"/>
            </a:rPr>
            <a:t> FINALE</a:t>
          </a:r>
          <a:endParaRPr lang="it-IT" sz="1100">
            <a:ln>
              <a:solidFill>
                <a:schemeClr val="bg1"/>
              </a:solidFill>
            </a:ln>
            <a:solidFill>
              <a:schemeClr val="lt1"/>
            </a:solidFill>
            <a:latin typeface="+mn-lt"/>
            <a:ea typeface="+mn-ea"/>
            <a:cs typeface="+mn-cs"/>
          </a:endParaRPr>
        </a:p>
      </xdr:txBody>
    </xdr:sp>
    <xdr:clientData/>
  </xdr:twoCellAnchor>
  <xdr:twoCellAnchor>
    <xdr:from>
      <xdr:col>4</xdr:col>
      <xdr:colOff>0</xdr:colOff>
      <xdr:row>1</xdr:row>
      <xdr:rowOff>9525</xdr:rowOff>
    </xdr:from>
    <xdr:to>
      <xdr:col>4</xdr:col>
      <xdr:colOff>1143000</xdr:colOff>
      <xdr:row>1</xdr:row>
      <xdr:rowOff>552450</xdr:rowOff>
    </xdr:to>
    <xdr:sp macro="" textlink="">
      <xdr:nvSpPr>
        <xdr:cNvPr id="9" name="Rettangolo con angoli arrotondati 8">
          <a:hlinkClick xmlns:r="http://schemas.openxmlformats.org/officeDocument/2006/relationships" r:id="rId4"/>
          <a:extLst>
            <a:ext uri="{FF2B5EF4-FFF2-40B4-BE49-F238E27FC236}">
              <a16:creationId xmlns:a16="http://schemas.microsoft.com/office/drawing/2014/main" id="{00000000-0008-0000-0100-000009000000}"/>
            </a:ext>
          </a:extLst>
        </xdr:cNvPr>
        <xdr:cNvSpPr/>
      </xdr:nvSpPr>
      <xdr:spPr>
        <a:xfrm>
          <a:off x="2451652" y="1193938"/>
          <a:ext cx="1143000" cy="542925"/>
        </a:xfrm>
        <a:prstGeom prst="roundRect">
          <a:avLst/>
        </a:prstGeom>
        <a:solidFill>
          <a:srgbClr val="00919E"/>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SEZIONI 1-2</a:t>
          </a:r>
        </a:p>
      </xdr:txBody>
    </xdr:sp>
    <xdr:clientData/>
  </xdr:twoCellAnchor>
  <xdr:twoCellAnchor>
    <xdr:from>
      <xdr:col>0</xdr:col>
      <xdr:colOff>0</xdr:colOff>
      <xdr:row>0</xdr:row>
      <xdr:rowOff>142875</xdr:rowOff>
    </xdr:from>
    <xdr:to>
      <xdr:col>4</xdr:col>
      <xdr:colOff>3633594</xdr:colOff>
      <xdr:row>0</xdr:row>
      <xdr:rowOff>926856</xdr:rowOff>
    </xdr:to>
    <xdr:sp macro="" textlink="">
      <xdr:nvSpPr>
        <xdr:cNvPr id="11" name="Rettangolo con angoli arrotondati 10">
          <a:extLst>
            <a:ext uri="{FF2B5EF4-FFF2-40B4-BE49-F238E27FC236}">
              <a16:creationId xmlns:a16="http://schemas.microsoft.com/office/drawing/2014/main" id="{00000000-0008-0000-0100-00000B000000}"/>
            </a:ext>
          </a:extLst>
        </xdr:cNvPr>
        <xdr:cNvSpPr/>
      </xdr:nvSpPr>
      <xdr:spPr>
        <a:xfrm>
          <a:off x="0" y="142875"/>
          <a:ext cx="6095440" cy="78398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it-IT" sz="4400" b="0" i="1" cap="none" spc="0">
              <a:ln w="0"/>
              <a:solidFill>
                <a:schemeClr val="tx1"/>
              </a:solidFill>
              <a:effectLst>
                <a:outerShdw blurRad="38100" dist="19050" dir="2700000" algn="tl" rotWithShape="0">
                  <a:schemeClr val="dk1">
                    <a:alpha val="40000"/>
                  </a:schemeClr>
                </a:outerShdw>
              </a:effectLst>
              <a:latin typeface="Tw Cen MT" panose="020B0602020104020603" pitchFamily="34" charset="0"/>
              <a:ea typeface="Verdana" panose="020B0604030504040204" pitchFamily="34" charset="0"/>
              <a:cs typeface="+mn-cs"/>
            </a:rPr>
            <a:t>Check list Adeguati Assetti</a:t>
          </a:r>
        </a:p>
      </xdr:txBody>
    </xdr:sp>
    <xdr:clientData/>
  </xdr:twoCellAnchor>
  <xdr:twoCellAnchor editAs="absolute">
    <xdr:from>
      <xdr:col>4</xdr:col>
      <xdr:colOff>6619875</xdr:colOff>
      <xdr:row>0</xdr:row>
      <xdr:rowOff>0</xdr:rowOff>
    </xdr:from>
    <xdr:to>
      <xdr:col>15</xdr:col>
      <xdr:colOff>378721</xdr:colOff>
      <xdr:row>0</xdr:row>
      <xdr:rowOff>997323</xdr:rowOff>
    </xdr:to>
    <xdr:pic>
      <xdr:nvPicPr>
        <xdr:cNvPr id="3" name="Immagine 2" descr="Immagine che contiene testo, logo, Carattere, simbolo&#10;&#10;Descrizione generata automaticamente">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77325" y="0"/>
          <a:ext cx="2302771" cy="9973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57150</xdr:colOff>
          <xdr:row>5</xdr:row>
          <xdr:rowOff>28575</xdr:rowOff>
        </xdr:from>
        <xdr:to>
          <xdr:col>5</xdr:col>
          <xdr:colOff>304800</xdr:colOff>
          <xdr:row>5</xdr:row>
          <xdr:rowOff>266700</xdr:rowOff>
        </xdr:to>
        <xdr:sp macro="" textlink="">
          <xdr:nvSpPr>
            <xdr:cNvPr id="10241" name="Check Box 1" hidden="1">
              <a:extLst>
                <a:ext uri="{63B3BB69-23CF-44E3-9099-C40C66FF867C}">
                  <a14:compatExt spid="_x0000_s10241"/>
                </a:ext>
                <a:ext uri="{FF2B5EF4-FFF2-40B4-BE49-F238E27FC236}">
                  <a16:creationId xmlns:a16="http://schemas.microsoft.com/office/drawing/2014/main" id="{00000000-0008-0000-0200-00000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7</xdr:row>
          <xdr:rowOff>28575</xdr:rowOff>
        </xdr:from>
        <xdr:to>
          <xdr:col>5</xdr:col>
          <xdr:colOff>304800</xdr:colOff>
          <xdr:row>7</xdr:row>
          <xdr:rowOff>266700</xdr:rowOff>
        </xdr:to>
        <xdr:sp macro="" textlink="">
          <xdr:nvSpPr>
            <xdr:cNvPr id="10242" name="Check Box 2" hidden="1">
              <a:extLst>
                <a:ext uri="{63B3BB69-23CF-44E3-9099-C40C66FF867C}">
                  <a14:compatExt spid="_x0000_s10242"/>
                </a:ext>
                <a:ext uri="{FF2B5EF4-FFF2-40B4-BE49-F238E27FC236}">
                  <a16:creationId xmlns:a16="http://schemas.microsoft.com/office/drawing/2014/main" id="{00000000-0008-0000-0200-00000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9</xdr:row>
          <xdr:rowOff>28575</xdr:rowOff>
        </xdr:from>
        <xdr:to>
          <xdr:col>5</xdr:col>
          <xdr:colOff>304800</xdr:colOff>
          <xdr:row>9</xdr:row>
          <xdr:rowOff>266700</xdr:rowOff>
        </xdr:to>
        <xdr:sp macro="" textlink="">
          <xdr:nvSpPr>
            <xdr:cNvPr id="10249" name="Check Box 9" hidden="1">
              <a:extLst>
                <a:ext uri="{63B3BB69-23CF-44E3-9099-C40C66FF867C}">
                  <a14:compatExt spid="_x0000_s10249"/>
                </a:ext>
                <a:ext uri="{FF2B5EF4-FFF2-40B4-BE49-F238E27FC236}">
                  <a16:creationId xmlns:a16="http://schemas.microsoft.com/office/drawing/2014/main" id="{00000000-0008-0000-0200-00000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6</xdr:row>
          <xdr:rowOff>28575</xdr:rowOff>
        </xdr:from>
        <xdr:to>
          <xdr:col>5</xdr:col>
          <xdr:colOff>304800</xdr:colOff>
          <xdr:row>6</xdr:row>
          <xdr:rowOff>266700</xdr:rowOff>
        </xdr:to>
        <xdr:sp macro="" textlink="">
          <xdr:nvSpPr>
            <xdr:cNvPr id="10250" name="Check Box 10" hidden="1">
              <a:extLst>
                <a:ext uri="{63B3BB69-23CF-44E3-9099-C40C66FF867C}">
                  <a14:compatExt spid="_x0000_s10250"/>
                </a:ext>
                <a:ext uri="{FF2B5EF4-FFF2-40B4-BE49-F238E27FC236}">
                  <a16:creationId xmlns:a16="http://schemas.microsoft.com/office/drawing/2014/main" id="{00000000-0008-0000-0200-00000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7</xdr:row>
          <xdr:rowOff>28575</xdr:rowOff>
        </xdr:from>
        <xdr:to>
          <xdr:col>5</xdr:col>
          <xdr:colOff>304800</xdr:colOff>
          <xdr:row>7</xdr:row>
          <xdr:rowOff>266700</xdr:rowOff>
        </xdr:to>
        <xdr:sp macro="" textlink="">
          <xdr:nvSpPr>
            <xdr:cNvPr id="10251" name="Check Box 11" hidden="1">
              <a:extLst>
                <a:ext uri="{63B3BB69-23CF-44E3-9099-C40C66FF867C}">
                  <a14:compatExt spid="_x0000_s10251"/>
                </a:ext>
                <a:ext uri="{FF2B5EF4-FFF2-40B4-BE49-F238E27FC236}">
                  <a16:creationId xmlns:a16="http://schemas.microsoft.com/office/drawing/2014/main" id="{00000000-0008-0000-0200-00000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9</xdr:row>
          <xdr:rowOff>28575</xdr:rowOff>
        </xdr:from>
        <xdr:to>
          <xdr:col>5</xdr:col>
          <xdr:colOff>304800</xdr:colOff>
          <xdr:row>9</xdr:row>
          <xdr:rowOff>266700</xdr:rowOff>
        </xdr:to>
        <xdr:sp macro="" textlink="">
          <xdr:nvSpPr>
            <xdr:cNvPr id="10252" name="Check Box 12" hidden="1">
              <a:extLst>
                <a:ext uri="{63B3BB69-23CF-44E3-9099-C40C66FF867C}">
                  <a14:compatExt spid="_x0000_s10252"/>
                </a:ext>
                <a:ext uri="{FF2B5EF4-FFF2-40B4-BE49-F238E27FC236}">
                  <a16:creationId xmlns:a16="http://schemas.microsoft.com/office/drawing/2014/main" id="{00000000-0008-0000-0200-00000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8</xdr:row>
          <xdr:rowOff>28575</xdr:rowOff>
        </xdr:from>
        <xdr:to>
          <xdr:col>5</xdr:col>
          <xdr:colOff>304800</xdr:colOff>
          <xdr:row>8</xdr:row>
          <xdr:rowOff>266700</xdr:rowOff>
        </xdr:to>
        <xdr:sp macro="" textlink="">
          <xdr:nvSpPr>
            <xdr:cNvPr id="10253" name="Check Box 13" hidden="1">
              <a:extLst>
                <a:ext uri="{63B3BB69-23CF-44E3-9099-C40C66FF867C}">
                  <a14:compatExt spid="_x0000_s10253"/>
                </a:ext>
                <a:ext uri="{FF2B5EF4-FFF2-40B4-BE49-F238E27FC236}">
                  <a16:creationId xmlns:a16="http://schemas.microsoft.com/office/drawing/2014/main" id="{00000000-0008-0000-0200-00000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10</xdr:row>
          <xdr:rowOff>85725</xdr:rowOff>
        </xdr:from>
        <xdr:to>
          <xdr:col>5</xdr:col>
          <xdr:colOff>276225</xdr:colOff>
          <xdr:row>10</xdr:row>
          <xdr:rowOff>285750</xdr:rowOff>
        </xdr:to>
        <xdr:sp macro="" textlink="">
          <xdr:nvSpPr>
            <xdr:cNvPr id="10254" name="Check Box 14" hidden="1">
              <a:extLst>
                <a:ext uri="{63B3BB69-23CF-44E3-9099-C40C66FF867C}">
                  <a14:compatExt spid="_x0000_s10254"/>
                </a:ext>
                <a:ext uri="{FF2B5EF4-FFF2-40B4-BE49-F238E27FC236}">
                  <a16:creationId xmlns:a16="http://schemas.microsoft.com/office/drawing/2014/main" id="{00000000-0008-0000-0200-00000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12</xdr:row>
          <xdr:rowOff>85725</xdr:rowOff>
        </xdr:from>
        <xdr:to>
          <xdr:col>5</xdr:col>
          <xdr:colOff>276225</xdr:colOff>
          <xdr:row>12</xdr:row>
          <xdr:rowOff>285750</xdr:rowOff>
        </xdr:to>
        <xdr:sp macro="" textlink="">
          <xdr:nvSpPr>
            <xdr:cNvPr id="10255" name="Check Box 15" hidden="1">
              <a:extLst>
                <a:ext uri="{63B3BB69-23CF-44E3-9099-C40C66FF867C}">
                  <a14:compatExt spid="_x0000_s10255"/>
                </a:ext>
                <a:ext uri="{FF2B5EF4-FFF2-40B4-BE49-F238E27FC236}">
                  <a16:creationId xmlns:a16="http://schemas.microsoft.com/office/drawing/2014/main" id="{00000000-0008-0000-0200-00000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15</xdr:row>
          <xdr:rowOff>85725</xdr:rowOff>
        </xdr:from>
        <xdr:to>
          <xdr:col>5</xdr:col>
          <xdr:colOff>276225</xdr:colOff>
          <xdr:row>15</xdr:row>
          <xdr:rowOff>285750</xdr:rowOff>
        </xdr:to>
        <xdr:sp macro="" textlink="">
          <xdr:nvSpPr>
            <xdr:cNvPr id="10256" name="Check Box 16" hidden="1">
              <a:extLst>
                <a:ext uri="{63B3BB69-23CF-44E3-9099-C40C66FF867C}">
                  <a14:compatExt spid="_x0000_s10256"/>
                </a:ext>
                <a:ext uri="{FF2B5EF4-FFF2-40B4-BE49-F238E27FC236}">
                  <a16:creationId xmlns:a16="http://schemas.microsoft.com/office/drawing/2014/main" id="{00000000-0008-0000-0200-00001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18</xdr:row>
          <xdr:rowOff>85725</xdr:rowOff>
        </xdr:from>
        <xdr:to>
          <xdr:col>5</xdr:col>
          <xdr:colOff>276225</xdr:colOff>
          <xdr:row>18</xdr:row>
          <xdr:rowOff>285750</xdr:rowOff>
        </xdr:to>
        <xdr:sp macro="" textlink="">
          <xdr:nvSpPr>
            <xdr:cNvPr id="10257" name="Check Box 17" hidden="1">
              <a:extLst>
                <a:ext uri="{63B3BB69-23CF-44E3-9099-C40C66FF867C}">
                  <a14:compatExt spid="_x0000_s10257"/>
                </a:ext>
                <a:ext uri="{FF2B5EF4-FFF2-40B4-BE49-F238E27FC236}">
                  <a16:creationId xmlns:a16="http://schemas.microsoft.com/office/drawing/2014/main" id="{00000000-0008-0000-0200-00001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20</xdr:row>
          <xdr:rowOff>85725</xdr:rowOff>
        </xdr:from>
        <xdr:to>
          <xdr:col>5</xdr:col>
          <xdr:colOff>276225</xdr:colOff>
          <xdr:row>20</xdr:row>
          <xdr:rowOff>285750</xdr:rowOff>
        </xdr:to>
        <xdr:sp macro="" textlink="">
          <xdr:nvSpPr>
            <xdr:cNvPr id="10259" name="Check Box 19" hidden="1">
              <a:extLst>
                <a:ext uri="{63B3BB69-23CF-44E3-9099-C40C66FF867C}">
                  <a14:compatExt spid="_x0000_s10259"/>
                </a:ext>
                <a:ext uri="{FF2B5EF4-FFF2-40B4-BE49-F238E27FC236}">
                  <a16:creationId xmlns:a16="http://schemas.microsoft.com/office/drawing/2014/main" id="{00000000-0008-0000-0200-00001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23</xdr:row>
          <xdr:rowOff>85725</xdr:rowOff>
        </xdr:from>
        <xdr:to>
          <xdr:col>5</xdr:col>
          <xdr:colOff>276225</xdr:colOff>
          <xdr:row>23</xdr:row>
          <xdr:rowOff>285750</xdr:rowOff>
        </xdr:to>
        <xdr:sp macro="" textlink="">
          <xdr:nvSpPr>
            <xdr:cNvPr id="10260" name="Check Box 20" hidden="1">
              <a:extLst>
                <a:ext uri="{63B3BB69-23CF-44E3-9099-C40C66FF867C}">
                  <a14:compatExt spid="_x0000_s10260"/>
                </a:ext>
                <a:ext uri="{FF2B5EF4-FFF2-40B4-BE49-F238E27FC236}">
                  <a16:creationId xmlns:a16="http://schemas.microsoft.com/office/drawing/2014/main" id="{00000000-0008-0000-0200-00001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25</xdr:row>
          <xdr:rowOff>85725</xdr:rowOff>
        </xdr:from>
        <xdr:to>
          <xdr:col>5</xdr:col>
          <xdr:colOff>276225</xdr:colOff>
          <xdr:row>25</xdr:row>
          <xdr:rowOff>285750</xdr:rowOff>
        </xdr:to>
        <xdr:sp macro="" textlink="">
          <xdr:nvSpPr>
            <xdr:cNvPr id="10261" name="Check Box 21" hidden="1">
              <a:extLst>
                <a:ext uri="{63B3BB69-23CF-44E3-9099-C40C66FF867C}">
                  <a14:compatExt spid="_x0000_s10261"/>
                </a:ext>
                <a:ext uri="{FF2B5EF4-FFF2-40B4-BE49-F238E27FC236}">
                  <a16:creationId xmlns:a16="http://schemas.microsoft.com/office/drawing/2014/main" id="{00000000-0008-0000-0200-00001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19</xdr:row>
          <xdr:rowOff>85725</xdr:rowOff>
        </xdr:from>
        <xdr:to>
          <xdr:col>5</xdr:col>
          <xdr:colOff>276225</xdr:colOff>
          <xdr:row>19</xdr:row>
          <xdr:rowOff>285750</xdr:rowOff>
        </xdr:to>
        <xdr:sp macro="" textlink="">
          <xdr:nvSpPr>
            <xdr:cNvPr id="10262" name="Check Box 22" hidden="1">
              <a:extLst>
                <a:ext uri="{63B3BB69-23CF-44E3-9099-C40C66FF867C}">
                  <a14:compatExt spid="_x0000_s10262"/>
                </a:ext>
                <a:ext uri="{FF2B5EF4-FFF2-40B4-BE49-F238E27FC236}">
                  <a16:creationId xmlns:a16="http://schemas.microsoft.com/office/drawing/2014/main" id="{00000000-0008-0000-0200-00001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3400425</xdr:colOff>
      <xdr:row>1</xdr:row>
      <xdr:rowOff>9525</xdr:rowOff>
    </xdr:from>
    <xdr:to>
      <xdr:col>4</xdr:col>
      <xdr:colOff>4543425</xdr:colOff>
      <xdr:row>1</xdr:row>
      <xdr:rowOff>552450</xdr:rowOff>
    </xdr:to>
    <xdr:sp macro="" textlink="">
      <xdr:nvSpPr>
        <xdr:cNvPr id="3" name="Rettangolo con angoli arrotondati 2">
          <a:hlinkClick xmlns:r="http://schemas.openxmlformats.org/officeDocument/2006/relationships" r:id="rId1"/>
          <a:extLst>
            <a:ext uri="{FF2B5EF4-FFF2-40B4-BE49-F238E27FC236}">
              <a16:creationId xmlns:a16="http://schemas.microsoft.com/office/drawing/2014/main" id="{00000000-0008-0000-0200-000003000000}"/>
            </a:ext>
          </a:extLst>
        </xdr:cNvPr>
        <xdr:cNvSpPr/>
      </xdr:nvSpPr>
      <xdr:spPr>
        <a:xfrm>
          <a:off x="5852077" y="1193938"/>
          <a:ext cx="1143000" cy="542925"/>
        </a:xfrm>
        <a:prstGeom prst="roundRect">
          <a:avLst/>
        </a:prstGeom>
        <a:solidFill>
          <a:srgbClr val="829E15"/>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SEZIONI 5-6</a:t>
          </a:r>
        </a:p>
      </xdr:txBody>
    </xdr:sp>
    <xdr:clientData/>
  </xdr:twoCellAnchor>
  <xdr:twoCellAnchor>
    <xdr:from>
      <xdr:col>4</xdr:col>
      <xdr:colOff>1685925</xdr:colOff>
      <xdr:row>1</xdr:row>
      <xdr:rowOff>9525</xdr:rowOff>
    </xdr:from>
    <xdr:to>
      <xdr:col>4</xdr:col>
      <xdr:colOff>2828925</xdr:colOff>
      <xdr:row>1</xdr:row>
      <xdr:rowOff>552450</xdr:rowOff>
    </xdr:to>
    <xdr:sp macro="" textlink="">
      <xdr:nvSpPr>
        <xdr:cNvPr id="4" name="Rettangolo con angoli arrotondati 3">
          <a:hlinkClick xmlns:r="http://schemas.openxmlformats.org/officeDocument/2006/relationships" r:id="rId2"/>
          <a:extLst>
            <a:ext uri="{FF2B5EF4-FFF2-40B4-BE49-F238E27FC236}">
              <a16:creationId xmlns:a16="http://schemas.microsoft.com/office/drawing/2014/main" id="{00000000-0008-0000-0200-000004000000}"/>
            </a:ext>
          </a:extLst>
        </xdr:cNvPr>
        <xdr:cNvSpPr/>
      </xdr:nvSpPr>
      <xdr:spPr>
        <a:xfrm>
          <a:off x="4137577" y="1193938"/>
          <a:ext cx="1143000" cy="542925"/>
        </a:xfrm>
        <a:prstGeom prst="roundRect">
          <a:avLst/>
        </a:prstGeom>
        <a:solidFill>
          <a:srgbClr val="00919E"/>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SEZIONI 3-4</a:t>
          </a:r>
        </a:p>
      </xdr:txBody>
    </xdr:sp>
    <xdr:clientData/>
  </xdr:twoCellAnchor>
  <xdr:twoCellAnchor>
    <xdr:from>
      <xdr:col>4</xdr:col>
      <xdr:colOff>5143500</xdr:colOff>
      <xdr:row>1</xdr:row>
      <xdr:rowOff>0</xdr:rowOff>
    </xdr:from>
    <xdr:to>
      <xdr:col>4</xdr:col>
      <xdr:colOff>6286500</xdr:colOff>
      <xdr:row>1</xdr:row>
      <xdr:rowOff>542925</xdr:rowOff>
    </xdr:to>
    <xdr:sp macro="" textlink="">
      <xdr:nvSpPr>
        <xdr:cNvPr id="12" name="Rettangolo con angoli arrotondati 11">
          <a:hlinkClick xmlns:r="http://schemas.openxmlformats.org/officeDocument/2006/relationships" r:id="rId3"/>
          <a:extLst>
            <a:ext uri="{FF2B5EF4-FFF2-40B4-BE49-F238E27FC236}">
              <a16:creationId xmlns:a16="http://schemas.microsoft.com/office/drawing/2014/main" id="{00000000-0008-0000-0200-00000C000000}"/>
            </a:ext>
          </a:extLst>
        </xdr:cNvPr>
        <xdr:cNvSpPr/>
      </xdr:nvSpPr>
      <xdr:spPr>
        <a:xfrm>
          <a:off x="7595152" y="1184413"/>
          <a:ext cx="1143000" cy="542925"/>
        </a:xfrm>
        <a:prstGeom prst="roundRect">
          <a:avLst/>
        </a:prstGeom>
        <a:solidFill>
          <a:srgbClr val="00919E"/>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RELAZIONE</a:t>
          </a:r>
          <a:r>
            <a:rPr lang="it-IT" sz="1100" baseline="0">
              <a:ln>
                <a:solidFill>
                  <a:schemeClr val="bg1"/>
                </a:solidFill>
              </a:ln>
              <a:solidFill>
                <a:schemeClr val="lt1"/>
              </a:solidFill>
              <a:latin typeface="+mn-lt"/>
              <a:ea typeface="+mn-ea"/>
              <a:cs typeface="+mn-cs"/>
            </a:rPr>
            <a:t> FINALE</a:t>
          </a:r>
          <a:endParaRPr lang="it-IT" sz="1100">
            <a:ln>
              <a:solidFill>
                <a:schemeClr val="bg1"/>
              </a:solidFill>
            </a:ln>
            <a:solidFill>
              <a:schemeClr val="lt1"/>
            </a:solidFill>
            <a:latin typeface="+mn-lt"/>
            <a:ea typeface="+mn-ea"/>
            <a:cs typeface="+mn-cs"/>
          </a:endParaRPr>
        </a:p>
      </xdr:txBody>
    </xdr:sp>
    <xdr:clientData/>
  </xdr:twoCellAnchor>
  <xdr:twoCellAnchor>
    <xdr:from>
      <xdr:col>4</xdr:col>
      <xdr:colOff>0</xdr:colOff>
      <xdr:row>1</xdr:row>
      <xdr:rowOff>9525</xdr:rowOff>
    </xdr:from>
    <xdr:to>
      <xdr:col>4</xdr:col>
      <xdr:colOff>1143000</xdr:colOff>
      <xdr:row>1</xdr:row>
      <xdr:rowOff>552450</xdr:rowOff>
    </xdr:to>
    <xdr:sp macro="" textlink="">
      <xdr:nvSpPr>
        <xdr:cNvPr id="13" name="Rettangolo con angoli arrotondati 12">
          <a:hlinkClick xmlns:r="http://schemas.openxmlformats.org/officeDocument/2006/relationships" r:id="rId4"/>
          <a:extLst>
            <a:ext uri="{FF2B5EF4-FFF2-40B4-BE49-F238E27FC236}">
              <a16:creationId xmlns:a16="http://schemas.microsoft.com/office/drawing/2014/main" id="{00000000-0008-0000-0200-00000D000000}"/>
            </a:ext>
          </a:extLst>
        </xdr:cNvPr>
        <xdr:cNvSpPr/>
      </xdr:nvSpPr>
      <xdr:spPr>
        <a:xfrm>
          <a:off x="2451652" y="1193938"/>
          <a:ext cx="1143000" cy="542925"/>
        </a:xfrm>
        <a:prstGeom prst="roundRect">
          <a:avLst/>
        </a:prstGeom>
        <a:solidFill>
          <a:srgbClr val="00919E"/>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SEZIONI 1-2</a:t>
          </a:r>
        </a:p>
      </xdr:txBody>
    </xdr:sp>
    <xdr:clientData/>
  </xdr:twoCellAnchor>
  <xdr:twoCellAnchor>
    <xdr:from>
      <xdr:col>0</xdr:col>
      <xdr:colOff>0</xdr:colOff>
      <xdr:row>0</xdr:row>
      <xdr:rowOff>142875</xdr:rowOff>
    </xdr:from>
    <xdr:to>
      <xdr:col>4</xdr:col>
      <xdr:colOff>3643788</xdr:colOff>
      <xdr:row>0</xdr:row>
      <xdr:rowOff>926856</xdr:rowOff>
    </xdr:to>
    <xdr:sp macro="" textlink="">
      <xdr:nvSpPr>
        <xdr:cNvPr id="7" name="Rettangolo con angoli arrotondati 6">
          <a:extLst>
            <a:ext uri="{FF2B5EF4-FFF2-40B4-BE49-F238E27FC236}">
              <a16:creationId xmlns:a16="http://schemas.microsoft.com/office/drawing/2014/main" id="{00000000-0008-0000-0200-000007000000}"/>
            </a:ext>
          </a:extLst>
        </xdr:cNvPr>
        <xdr:cNvSpPr/>
      </xdr:nvSpPr>
      <xdr:spPr>
        <a:xfrm>
          <a:off x="0" y="142875"/>
          <a:ext cx="6095440" cy="78398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it-IT" sz="4400" b="0" i="1" cap="none" spc="0">
              <a:ln w="0"/>
              <a:solidFill>
                <a:schemeClr val="tx1"/>
              </a:solidFill>
              <a:effectLst>
                <a:outerShdw blurRad="38100" dist="19050" dir="2700000" algn="tl" rotWithShape="0">
                  <a:schemeClr val="dk1">
                    <a:alpha val="40000"/>
                  </a:schemeClr>
                </a:outerShdw>
              </a:effectLst>
              <a:latin typeface="Tw Cen MT" panose="020B0602020104020603" pitchFamily="34" charset="0"/>
              <a:ea typeface="Verdana" panose="020B0604030504040204" pitchFamily="34" charset="0"/>
              <a:cs typeface="+mn-cs"/>
            </a:rPr>
            <a:t>Check list Adeguati Assetti</a:t>
          </a:r>
        </a:p>
      </xdr:txBody>
    </xdr:sp>
    <xdr:clientData/>
  </xdr:twoCellAnchor>
  <xdr:twoCellAnchor editAs="absolute">
    <xdr:from>
      <xdr:col>4</xdr:col>
      <xdr:colOff>7038975</xdr:colOff>
      <xdr:row>0</xdr:row>
      <xdr:rowOff>0</xdr:rowOff>
    </xdr:from>
    <xdr:to>
      <xdr:col>13</xdr:col>
      <xdr:colOff>407296</xdr:colOff>
      <xdr:row>0</xdr:row>
      <xdr:rowOff>997323</xdr:rowOff>
    </xdr:to>
    <xdr:pic>
      <xdr:nvPicPr>
        <xdr:cNvPr id="2" name="Immagine 1" descr="Immagine che contiene testo, logo, Carattere, simbolo&#10;&#10;Descrizione generata automaticamente">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496425" y="0"/>
          <a:ext cx="2302771" cy="9973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0</xdr:row>
      <xdr:rowOff>1057275</xdr:rowOff>
    </xdr:from>
    <xdr:to>
      <xdr:col>4</xdr:col>
      <xdr:colOff>0</xdr:colOff>
      <xdr:row>2</xdr:row>
      <xdr:rowOff>0</xdr:rowOff>
    </xdr:to>
    <xdr:grpSp>
      <xdr:nvGrpSpPr>
        <xdr:cNvPr id="4" name="Gruppo 3">
          <a:hlinkClick xmlns:r="http://schemas.openxmlformats.org/officeDocument/2006/relationships" r:id="rId1"/>
          <a:extLst>
            <a:ext uri="{FF2B5EF4-FFF2-40B4-BE49-F238E27FC236}">
              <a16:creationId xmlns:a16="http://schemas.microsoft.com/office/drawing/2014/main" id="{00000000-0008-0000-0300-000004000000}"/>
            </a:ext>
          </a:extLst>
        </xdr:cNvPr>
        <xdr:cNvGrpSpPr/>
      </xdr:nvGrpSpPr>
      <xdr:grpSpPr>
        <a:xfrm>
          <a:off x="9791700" y="1057275"/>
          <a:ext cx="0" cy="676275"/>
          <a:chOff x="9072034" y="1562101"/>
          <a:chExt cx="1170917" cy="1092199"/>
        </a:xfrm>
      </xdr:grpSpPr>
      <xdr:pic>
        <xdr:nvPicPr>
          <xdr:cNvPr id="5" name="Elemento grafico 4" descr="Elenco contorno">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072034" y="1739900"/>
            <a:ext cx="914400" cy="914400"/>
          </a:xfrm>
          <a:prstGeom prst="rect">
            <a:avLst/>
          </a:prstGeom>
        </xdr:spPr>
      </xdr:pic>
      <xdr:sp macro="" textlink="">
        <xdr:nvSpPr>
          <xdr:cNvPr id="6" name="CasellaDiTesto 5">
            <a:extLst>
              <a:ext uri="{FF2B5EF4-FFF2-40B4-BE49-F238E27FC236}">
                <a16:creationId xmlns:a16="http://schemas.microsoft.com/office/drawing/2014/main" id="{00000000-0008-0000-0300-000006000000}"/>
              </a:ext>
            </a:extLst>
          </xdr:cNvPr>
          <xdr:cNvSpPr txBox="1"/>
        </xdr:nvSpPr>
        <xdr:spPr>
          <a:xfrm>
            <a:off x="9131300" y="1562101"/>
            <a:ext cx="111165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100"/>
              <a:t>Relazione</a:t>
            </a:r>
            <a:r>
              <a:rPr lang="it-IT" sz="1100" baseline="0"/>
              <a:t> Finale</a:t>
            </a:r>
            <a:endParaRPr lang="it-IT" sz="1100"/>
          </a:p>
        </xdr:txBody>
      </xdr:sp>
    </xdr:grpSp>
    <xdr:clientData/>
  </xdr:twoCellAnchor>
  <xdr:twoCellAnchor>
    <xdr:from>
      <xdr:col>3</xdr:col>
      <xdr:colOff>2266950</xdr:colOff>
      <xdr:row>1</xdr:row>
      <xdr:rowOff>295275</xdr:rowOff>
    </xdr:from>
    <xdr:to>
      <xdr:col>3</xdr:col>
      <xdr:colOff>3409950</xdr:colOff>
      <xdr:row>2</xdr:row>
      <xdr:rowOff>247650</xdr:rowOff>
    </xdr:to>
    <xdr:sp macro="" textlink="">
      <xdr:nvSpPr>
        <xdr:cNvPr id="13" name="Rettangolo con angoli arrotondati 12">
          <a:hlinkClick xmlns:r="http://schemas.openxmlformats.org/officeDocument/2006/relationships" r:id="rId4"/>
          <a:extLst>
            <a:ext uri="{FF2B5EF4-FFF2-40B4-BE49-F238E27FC236}">
              <a16:creationId xmlns:a16="http://schemas.microsoft.com/office/drawing/2014/main" id="{00000000-0008-0000-0300-00000D000000}"/>
            </a:ext>
          </a:extLst>
        </xdr:cNvPr>
        <xdr:cNvSpPr/>
      </xdr:nvSpPr>
      <xdr:spPr>
        <a:xfrm>
          <a:off x="4676775" y="1943100"/>
          <a:ext cx="1143000" cy="542925"/>
        </a:xfrm>
        <a:prstGeom prst="roundRect">
          <a:avLst/>
        </a:prstGeom>
        <a:solidFill>
          <a:srgbClr val="00919E"/>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SEZIONI 5-6</a:t>
          </a:r>
        </a:p>
      </xdr:txBody>
    </xdr:sp>
    <xdr:clientData/>
  </xdr:twoCellAnchor>
  <xdr:twoCellAnchor>
    <xdr:from>
      <xdr:col>3</xdr:col>
      <xdr:colOff>552450</xdr:colOff>
      <xdr:row>1</xdr:row>
      <xdr:rowOff>295275</xdr:rowOff>
    </xdr:from>
    <xdr:to>
      <xdr:col>3</xdr:col>
      <xdr:colOff>1695450</xdr:colOff>
      <xdr:row>2</xdr:row>
      <xdr:rowOff>247650</xdr:rowOff>
    </xdr:to>
    <xdr:sp macro="" textlink="">
      <xdr:nvSpPr>
        <xdr:cNvPr id="15" name="Rettangolo con angoli arrotondati 14">
          <a:hlinkClick xmlns:r="http://schemas.openxmlformats.org/officeDocument/2006/relationships" r:id="rId5"/>
          <a:extLst>
            <a:ext uri="{FF2B5EF4-FFF2-40B4-BE49-F238E27FC236}">
              <a16:creationId xmlns:a16="http://schemas.microsoft.com/office/drawing/2014/main" id="{00000000-0008-0000-0300-00000F000000}"/>
            </a:ext>
          </a:extLst>
        </xdr:cNvPr>
        <xdr:cNvSpPr/>
      </xdr:nvSpPr>
      <xdr:spPr>
        <a:xfrm>
          <a:off x="2962275" y="1943100"/>
          <a:ext cx="1143000" cy="542925"/>
        </a:xfrm>
        <a:prstGeom prst="roundRect">
          <a:avLst/>
        </a:prstGeom>
        <a:solidFill>
          <a:srgbClr val="00919E"/>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SEZIONI 3-4</a:t>
          </a:r>
        </a:p>
      </xdr:txBody>
    </xdr:sp>
    <xdr:clientData/>
  </xdr:twoCellAnchor>
  <xdr:twoCellAnchor>
    <xdr:from>
      <xdr:col>3</xdr:col>
      <xdr:colOff>4010025</xdr:colOff>
      <xdr:row>1</xdr:row>
      <xdr:rowOff>285750</xdr:rowOff>
    </xdr:from>
    <xdr:to>
      <xdr:col>3</xdr:col>
      <xdr:colOff>5153025</xdr:colOff>
      <xdr:row>2</xdr:row>
      <xdr:rowOff>238125</xdr:rowOff>
    </xdr:to>
    <xdr:sp macro="" textlink="">
      <xdr:nvSpPr>
        <xdr:cNvPr id="16" name="Rettangolo con angoli arrotondati 15">
          <a:hlinkClick xmlns:r="http://schemas.openxmlformats.org/officeDocument/2006/relationships" r:id="rId1"/>
          <a:extLst>
            <a:ext uri="{FF2B5EF4-FFF2-40B4-BE49-F238E27FC236}">
              <a16:creationId xmlns:a16="http://schemas.microsoft.com/office/drawing/2014/main" id="{00000000-0008-0000-0300-000010000000}"/>
            </a:ext>
          </a:extLst>
        </xdr:cNvPr>
        <xdr:cNvSpPr/>
      </xdr:nvSpPr>
      <xdr:spPr>
        <a:xfrm>
          <a:off x="6419850" y="1933575"/>
          <a:ext cx="1143000" cy="542925"/>
        </a:xfrm>
        <a:prstGeom prst="roundRect">
          <a:avLst/>
        </a:prstGeom>
        <a:solidFill>
          <a:srgbClr val="829E15"/>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RELAZIONE FINALE</a:t>
          </a:r>
        </a:p>
      </xdr:txBody>
    </xdr:sp>
    <xdr:clientData/>
  </xdr:twoCellAnchor>
  <xdr:twoCellAnchor>
    <xdr:from>
      <xdr:col>2</xdr:col>
      <xdr:colOff>838200</xdr:colOff>
      <xdr:row>1</xdr:row>
      <xdr:rowOff>295275</xdr:rowOff>
    </xdr:from>
    <xdr:to>
      <xdr:col>3</xdr:col>
      <xdr:colOff>9525</xdr:colOff>
      <xdr:row>2</xdr:row>
      <xdr:rowOff>247650</xdr:rowOff>
    </xdr:to>
    <xdr:sp macro="" textlink="">
      <xdr:nvSpPr>
        <xdr:cNvPr id="17" name="Rettangolo con angoli arrotondati 16">
          <a:hlinkClick xmlns:r="http://schemas.openxmlformats.org/officeDocument/2006/relationships" r:id="rId6"/>
          <a:extLst>
            <a:ext uri="{FF2B5EF4-FFF2-40B4-BE49-F238E27FC236}">
              <a16:creationId xmlns:a16="http://schemas.microsoft.com/office/drawing/2014/main" id="{00000000-0008-0000-0300-000011000000}"/>
            </a:ext>
          </a:extLst>
        </xdr:cNvPr>
        <xdr:cNvSpPr/>
      </xdr:nvSpPr>
      <xdr:spPr>
        <a:xfrm>
          <a:off x="1200150" y="1943100"/>
          <a:ext cx="1219200" cy="542925"/>
        </a:xfrm>
        <a:prstGeom prst="roundRect">
          <a:avLst/>
        </a:prstGeom>
        <a:solidFill>
          <a:srgbClr val="00919E"/>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SEZIONI 1-2</a:t>
          </a:r>
        </a:p>
      </xdr:txBody>
    </xdr:sp>
    <xdr:clientData/>
  </xdr:twoCellAnchor>
  <xdr:twoCellAnchor>
    <xdr:from>
      <xdr:col>3</xdr:col>
      <xdr:colOff>5743575</xdr:colOff>
      <xdr:row>1</xdr:row>
      <xdr:rowOff>295275</xdr:rowOff>
    </xdr:from>
    <xdr:to>
      <xdr:col>3</xdr:col>
      <xdr:colOff>6886575</xdr:colOff>
      <xdr:row>2</xdr:row>
      <xdr:rowOff>247650</xdr:rowOff>
    </xdr:to>
    <xdr:sp macro="" textlink="">
      <xdr:nvSpPr>
        <xdr:cNvPr id="18" name="Rettangolo con angoli arrotondati 17">
          <a:hlinkClick xmlns:r="http://schemas.openxmlformats.org/officeDocument/2006/relationships" r:id="rId7"/>
          <a:extLst>
            <a:ext uri="{FF2B5EF4-FFF2-40B4-BE49-F238E27FC236}">
              <a16:creationId xmlns:a16="http://schemas.microsoft.com/office/drawing/2014/main" id="{00000000-0008-0000-0300-000012000000}"/>
            </a:ext>
          </a:extLst>
        </xdr:cNvPr>
        <xdr:cNvSpPr/>
      </xdr:nvSpPr>
      <xdr:spPr>
        <a:xfrm>
          <a:off x="8153400" y="1943100"/>
          <a:ext cx="1143000" cy="542925"/>
        </a:xfrm>
        <a:prstGeom prst="roundRect">
          <a:avLst/>
        </a:prstGeom>
        <a:solidFill>
          <a:srgbClr val="00919E"/>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050">
              <a:ln>
                <a:solidFill>
                  <a:schemeClr val="bg1"/>
                </a:solidFill>
              </a:ln>
              <a:solidFill>
                <a:schemeClr val="lt1"/>
              </a:solidFill>
              <a:latin typeface="+mn-lt"/>
              <a:ea typeface="+mn-ea"/>
              <a:cs typeface="+mn-cs"/>
            </a:rPr>
            <a:t>RELAZIONE COMPATTA</a:t>
          </a:r>
          <a:endParaRPr lang="it-IT" sz="1100">
            <a:ln>
              <a:solidFill>
                <a:schemeClr val="bg1"/>
              </a:solidFill>
            </a:ln>
            <a:solidFill>
              <a:schemeClr val="lt1"/>
            </a:solidFill>
            <a:latin typeface="+mn-lt"/>
            <a:ea typeface="+mn-ea"/>
            <a:cs typeface="+mn-cs"/>
          </a:endParaRPr>
        </a:p>
      </xdr:txBody>
    </xdr:sp>
    <xdr:clientData/>
  </xdr:twoCellAnchor>
  <xdr:twoCellAnchor>
    <xdr:from>
      <xdr:col>0</xdr:col>
      <xdr:colOff>57150</xdr:colOff>
      <xdr:row>0</xdr:row>
      <xdr:rowOff>142875</xdr:rowOff>
    </xdr:from>
    <xdr:to>
      <xdr:col>3</xdr:col>
      <xdr:colOff>3743325</xdr:colOff>
      <xdr:row>0</xdr:row>
      <xdr:rowOff>926856</xdr:rowOff>
    </xdr:to>
    <xdr:sp macro="" textlink="">
      <xdr:nvSpPr>
        <xdr:cNvPr id="2" name="Rettangolo con angoli arrotondati 1">
          <a:extLst>
            <a:ext uri="{FF2B5EF4-FFF2-40B4-BE49-F238E27FC236}">
              <a16:creationId xmlns:a16="http://schemas.microsoft.com/office/drawing/2014/main" id="{00000000-0008-0000-0300-000002000000}"/>
            </a:ext>
          </a:extLst>
        </xdr:cNvPr>
        <xdr:cNvSpPr/>
      </xdr:nvSpPr>
      <xdr:spPr>
        <a:xfrm>
          <a:off x="57150" y="142875"/>
          <a:ext cx="6096000" cy="78398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it-IT" sz="4400" b="0" i="1" cap="none" spc="0">
              <a:ln w="0"/>
              <a:solidFill>
                <a:schemeClr val="tx1"/>
              </a:solidFill>
              <a:effectLst>
                <a:outerShdw blurRad="38100" dist="19050" dir="2700000" algn="tl" rotWithShape="0">
                  <a:schemeClr val="dk1">
                    <a:alpha val="40000"/>
                  </a:schemeClr>
                </a:outerShdw>
              </a:effectLst>
              <a:latin typeface="Tw Cen MT" panose="020B0602020104020603" pitchFamily="34" charset="0"/>
              <a:ea typeface="Verdana" panose="020B0604030504040204" pitchFamily="34" charset="0"/>
              <a:cs typeface="+mn-cs"/>
            </a:rPr>
            <a:t>Check list Adeguati Assetti</a:t>
          </a:r>
        </a:p>
      </xdr:txBody>
    </xdr:sp>
    <xdr:clientData/>
  </xdr:twoCellAnchor>
  <xdr:twoCellAnchor editAs="absolute">
    <xdr:from>
      <xdr:col>3</xdr:col>
      <xdr:colOff>5876925</xdr:colOff>
      <xdr:row>0</xdr:row>
      <xdr:rowOff>0</xdr:rowOff>
    </xdr:from>
    <xdr:to>
      <xdr:col>5</xdr:col>
      <xdr:colOff>464446</xdr:colOff>
      <xdr:row>0</xdr:row>
      <xdr:rowOff>997323</xdr:rowOff>
    </xdr:to>
    <xdr:pic>
      <xdr:nvPicPr>
        <xdr:cNvPr id="3" name="Immagine 2" descr="Immagine che contiene testo, logo, Carattere, simbolo&#10;&#10;Descrizione generata automaticamente">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286750" y="0"/>
          <a:ext cx="2302771" cy="99732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4791075</xdr:colOff>
      <xdr:row>2</xdr:row>
      <xdr:rowOff>9525</xdr:rowOff>
    </xdr:from>
    <xdr:to>
      <xdr:col>0</xdr:col>
      <xdr:colOff>5934075</xdr:colOff>
      <xdr:row>2</xdr:row>
      <xdr:rowOff>552450</xdr:rowOff>
    </xdr:to>
    <xdr:sp macro="" textlink="">
      <xdr:nvSpPr>
        <xdr:cNvPr id="5" name="Rettangolo con angoli arrotondati 4">
          <a:hlinkClick xmlns:r="http://schemas.openxmlformats.org/officeDocument/2006/relationships" r:id="rId1"/>
          <a:extLst>
            <a:ext uri="{FF2B5EF4-FFF2-40B4-BE49-F238E27FC236}">
              <a16:creationId xmlns:a16="http://schemas.microsoft.com/office/drawing/2014/main" id="{00000000-0008-0000-0400-000005000000}"/>
            </a:ext>
          </a:extLst>
        </xdr:cNvPr>
        <xdr:cNvSpPr/>
      </xdr:nvSpPr>
      <xdr:spPr>
        <a:xfrm>
          <a:off x="4791075" y="1381125"/>
          <a:ext cx="1143000" cy="542925"/>
        </a:xfrm>
        <a:prstGeom prst="roundRect">
          <a:avLst/>
        </a:prstGeom>
        <a:solidFill>
          <a:srgbClr val="00919E"/>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SEZIONI 5-6</a:t>
          </a:r>
        </a:p>
      </xdr:txBody>
    </xdr:sp>
    <xdr:clientData/>
  </xdr:twoCellAnchor>
  <xdr:twoCellAnchor>
    <xdr:from>
      <xdr:col>0</xdr:col>
      <xdr:colOff>3076575</xdr:colOff>
      <xdr:row>2</xdr:row>
      <xdr:rowOff>9525</xdr:rowOff>
    </xdr:from>
    <xdr:to>
      <xdr:col>0</xdr:col>
      <xdr:colOff>4219575</xdr:colOff>
      <xdr:row>2</xdr:row>
      <xdr:rowOff>552450</xdr:rowOff>
    </xdr:to>
    <xdr:sp macro="" textlink="">
      <xdr:nvSpPr>
        <xdr:cNvPr id="8" name="Rettangolo con angoli arrotondati 7">
          <a:hlinkClick xmlns:r="http://schemas.openxmlformats.org/officeDocument/2006/relationships" r:id="rId2"/>
          <a:extLst>
            <a:ext uri="{FF2B5EF4-FFF2-40B4-BE49-F238E27FC236}">
              <a16:creationId xmlns:a16="http://schemas.microsoft.com/office/drawing/2014/main" id="{00000000-0008-0000-0400-000008000000}"/>
            </a:ext>
          </a:extLst>
        </xdr:cNvPr>
        <xdr:cNvSpPr/>
      </xdr:nvSpPr>
      <xdr:spPr>
        <a:xfrm>
          <a:off x="3076575" y="1381125"/>
          <a:ext cx="1143000" cy="542925"/>
        </a:xfrm>
        <a:prstGeom prst="roundRect">
          <a:avLst/>
        </a:prstGeom>
        <a:solidFill>
          <a:srgbClr val="00919E"/>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SEZIONI 3-4</a:t>
          </a:r>
        </a:p>
      </xdr:txBody>
    </xdr:sp>
    <xdr:clientData/>
  </xdr:twoCellAnchor>
  <xdr:twoCellAnchor>
    <xdr:from>
      <xdr:col>0</xdr:col>
      <xdr:colOff>6534150</xdr:colOff>
      <xdr:row>2</xdr:row>
      <xdr:rowOff>0</xdr:rowOff>
    </xdr:from>
    <xdr:to>
      <xdr:col>0</xdr:col>
      <xdr:colOff>7677150</xdr:colOff>
      <xdr:row>2</xdr:row>
      <xdr:rowOff>542925</xdr:rowOff>
    </xdr:to>
    <xdr:sp macro="" textlink="">
      <xdr:nvSpPr>
        <xdr:cNvPr id="9" name="Rettangolo con angoli arrotondati 8">
          <a:hlinkClick xmlns:r="http://schemas.openxmlformats.org/officeDocument/2006/relationships" r:id="rId3"/>
          <a:extLst>
            <a:ext uri="{FF2B5EF4-FFF2-40B4-BE49-F238E27FC236}">
              <a16:creationId xmlns:a16="http://schemas.microsoft.com/office/drawing/2014/main" id="{00000000-0008-0000-0400-000009000000}"/>
            </a:ext>
          </a:extLst>
        </xdr:cNvPr>
        <xdr:cNvSpPr/>
      </xdr:nvSpPr>
      <xdr:spPr>
        <a:xfrm>
          <a:off x="6534150" y="1371600"/>
          <a:ext cx="1143000" cy="542925"/>
        </a:xfrm>
        <a:prstGeom prst="roundRect">
          <a:avLst/>
        </a:prstGeom>
        <a:solidFill>
          <a:srgbClr val="00919E"/>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RELAZIONE FINALE</a:t>
          </a:r>
        </a:p>
      </xdr:txBody>
    </xdr:sp>
    <xdr:clientData/>
  </xdr:twoCellAnchor>
  <xdr:twoCellAnchor>
    <xdr:from>
      <xdr:col>0</xdr:col>
      <xdr:colOff>1390650</xdr:colOff>
      <xdr:row>2</xdr:row>
      <xdr:rowOff>9525</xdr:rowOff>
    </xdr:from>
    <xdr:to>
      <xdr:col>0</xdr:col>
      <xdr:colOff>2533650</xdr:colOff>
      <xdr:row>2</xdr:row>
      <xdr:rowOff>552450</xdr:rowOff>
    </xdr:to>
    <xdr:sp macro="" textlink="">
      <xdr:nvSpPr>
        <xdr:cNvPr id="10" name="Rettangolo con angoli arrotondati 9">
          <a:hlinkClick xmlns:r="http://schemas.openxmlformats.org/officeDocument/2006/relationships" r:id="rId4"/>
          <a:extLst>
            <a:ext uri="{FF2B5EF4-FFF2-40B4-BE49-F238E27FC236}">
              <a16:creationId xmlns:a16="http://schemas.microsoft.com/office/drawing/2014/main" id="{00000000-0008-0000-0400-00000A000000}"/>
            </a:ext>
          </a:extLst>
        </xdr:cNvPr>
        <xdr:cNvSpPr/>
      </xdr:nvSpPr>
      <xdr:spPr>
        <a:xfrm>
          <a:off x="1390650" y="1381125"/>
          <a:ext cx="1143000" cy="542925"/>
        </a:xfrm>
        <a:prstGeom prst="roundRect">
          <a:avLst/>
        </a:prstGeom>
        <a:solidFill>
          <a:srgbClr val="00919E"/>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SEZIONI 1-2</a:t>
          </a:r>
        </a:p>
      </xdr:txBody>
    </xdr:sp>
    <xdr:clientData/>
  </xdr:twoCellAnchor>
  <xdr:twoCellAnchor>
    <xdr:from>
      <xdr:col>0</xdr:col>
      <xdr:colOff>8267700</xdr:colOff>
      <xdr:row>2</xdr:row>
      <xdr:rowOff>9525</xdr:rowOff>
    </xdr:from>
    <xdr:to>
      <xdr:col>0</xdr:col>
      <xdr:colOff>9410700</xdr:colOff>
      <xdr:row>2</xdr:row>
      <xdr:rowOff>552450</xdr:rowOff>
    </xdr:to>
    <xdr:sp macro="" textlink="">
      <xdr:nvSpPr>
        <xdr:cNvPr id="11" name="Rettangolo con angoli arrotondati 10">
          <a:hlinkClick xmlns:r="http://schemas.openxmlformats.org/officeDocument/2006/relationships" r:id="rId5"/>
          <a:extLst>
            <a:ext uri="{FF2B5EF4-FFF2-40B4-BE49-F238E27FC236}">
              <a16:creationId xmlns:a16="http://schemas.microsoft.com/office/drawing/2014/main" id="{00000000-0008-0000-0400-00000B000000}"/>
            </a:ext>
          </a:extLst>
        </xdr:cNvPr>
        <xdr:cNvSpPr/>
      </xdr:nvSpPr>
      <xdr:spPr>
        <a:xfrm>
          <a:off x="8267700" y="1381125"/>
          <a:ext cx="1143000" cy="542925"/>
        </a:xfrm>
        <a:prstGeom prst="roundRect">
          <a:avLst/>
        </a:prstGeom>
        <a:solidFill>
          <a:srgbClr val="829E15"/>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it-IT" sz="1100">
              <a:ln>
                <a:solidFill>
                  <a:schemeClr val="bg1"/>
                </a:solidFill>
              </a:ln>
              <a:solidFill>
                <a:schemeClr val="lt1"/>
              </a:solidFill>
              <a:latin typeface="+mn-lt"/>
              <a:ea typeface="+mn-ea"/>
              <a:cs typeface="+mn-cs"/>
            </a:rPr>
            <a:t>RELAZIONE COMPATTA</a:t>
          </a:r>
        </a:p>
      </xdr:txBody>
    </xdr:sp>
    <xdr:clientData/>
  </xdr:twoCellAnchor>
  <xdr:twoCellAnchor>
    <xdr:from>
      <xdr:col>0</xdr:col>
      <xdr:colOff>0</xdr:colOff>
      <xdr:row>0</xdr:row>
      <xdr:rowOff>142875</xdr:rowOff>
    </xdr:from>
    <xdr:to>
      <xdr:col>0</xdr:col>
      <xdr:colOff>6095440</xdr:colOff>
      <xdr:row>1</xdr:row>
      <xdr:rowOff>241056</xdr:rowOff>
    </xdr:to>
    <xdr:sp macro="" textlink="">
      <xdr:nvSpPr>
        <xdr:cNvPr id="2" name="Rettangolo con angoli arrotondati 1">
          <a:extLst>
            <a:ext uri="{FF2B5EF4-FFF2-40B4-BE49-F238E27FC236}">
              <a16:creationId xmlns:a16="http://schemas.microsoft.com/office/drawing/2014/main" id="{00000000-0008-0000-0400-000002000000}"/>
            </a:ext>
          </a:extLst>
        </xdr:cNvPr>
        <xdr:cNvSpPr/>
      </xdr:nvSpPr>
      <xdr:spPr>
        <a:xfrm>
          <a:off x="0" y="142875"/>
          <a:ext cx="6095440" cy="78398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it-IT" sz="4400" b="0" i="1" cap="none" spc="0">
              <a:ln w="0"/>
              <a:solidFill>
                <a:schemeClr val="tx1"/>
              </a:solidFill>
              <a:effectLst>
                <a:outerShdw blurRad="38100" dist="19050" dir="2700000" algn="tl" rotWithShape="0">
                  <a:schemeClr val="dk1">
                    <a:alpha val="40000"/>
                  </a:schemeClr>
                </a:outerShdw>
              </a:effectLst>
              <a:latin typeface="Tw Cen MT" panose="020B0602020104020603" pitchFamily="34" charset="0"/>
              <a:ea typeface="Verdana" panose="020B0604030504040204" pitchFamily="34" charset="0"/>
              <a:cs typeface="+mn-cs"/>
            </a:rPr>
            <a:t>Check list Adeguati Assetti</a:t>
          </a:r>
        </a:p>
      </xdr:txBody>
    </xdr:sp>
    <xdr:clientData/>
  </xdr:twoCellAnchor>
  <xdr:twoCellAnchor editAs="absolute">
    <xdr:from>
      <xdr:col>0</xdr:col>
      <xdr:colOff>9258300</xdr:colOff>
      <xdr:row>0</xdr:row>
      <xdr:rowOff>0</xdr:rowOff>
    </xdr:from>
    <xdr:to>
      <xdr:col>0</xdr:col>
      <xdr:colOff>11561071</xdr:colOff>
      <xdr:row>1</xdr:row>
      <xdr:rowOff>311523</xdr:rowOff>
    </xdr:to>
    <xdr:pic>
      <xdr:nvPicPr>
        <xdr:cNvPr id="6" name="Immagine 5" descr="Immagine che contiene testo, logo, Carattere, simbolo&#10;&#10;Descrizione generata automaticamente">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258300" y="0"/>
          <a:ext cx="2302771" cy="9973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Y:\Clienti\Commercialista%20Telematico\Pubblicati\SimulazioneEasy\SimulazioneEasy.xlsx" TargetMode="External"/><Relationship Id="rId1" Type="http://schemas.openxmlformats.org/officeDocument/2006/relationships/externalLinkPath" Target="file:///Y:\Clienti\Commercialista%20Telematico\Pubblicati\SimulazioneEasy\SimulazioneEas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ilanci"/>
      <sheetName val="Variabili"/>
      <sheetName val="Risultati"/>
      <sheetName val="SimulazioneEasy"/>
    </sheetNames>
    <sheetDataSet>
      <sheetData sheetId="0">
        <row r="7">
          <cell r="C7">
            <v>35277305.860000007</v>
          </cell>
        </row>
        <row r="10">
          <cell r="C10">
            <v>22700798</v>
          </cell>
          <cell r="D10">
            <v>0.64349579557150449</v>
          </cell>
        </row>
        <row r="12">
          <cell r="C12">
            <v>2516064</v>
          </cell>
          <cell r="D12">
            <v>7.1322453307096148E-2</v>
          </cell>
        </row>
        <row r="14">
          <cell r="C14">
            <v>3461409</v>
          </cell>
        </row>
        <row r="19">
          <cell r="C19">
            <v>784262</v>
          </cell>
        </row>
        <row r="21">
          <cell r="C21">
            <v>681527</v>
          </cell>
        </row>
        <row r="23">
          <cell r="C23">
            <v>0.24</v>
          </cell>
        </row>
        <row r="24">
          <cell r="C24">
            <v>3.9E-2</v>
          </cell>
        </row>
      </sheetData>
      <sheetData sheetId="1"/>
      <sheetData sheetId="2">
        <row r="55">
          <cell r="C55" t="str">
            <v>Ottimistico -10%</v>
          </cell>
        </row>
      </sheetData>
      <sheetData sheetId="3" refreshError="1"/>
    </sheetDataSet>
  </externalBook>
</externalLink>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s>
</file>

<file path=xl/worksheets/_rels/sheet2.xml.rels><?xml version="1.0" encoding="UTF-8" standalone="yes"?>
<Relationships xmlns="http://schemas.openxmlformats.org/package/2006/relationships"><Relationship Id="rId26" Type="http://schemas.openxmlformats.org/officeDocument/2006/relationships/ctrlProp" Target="../ctrlProps/ctrlProp50.xml"/><Relationship Id="rId117" Type="http://schemas.openxmlformats.org/officeDocument/2006/relationships/ctrlProp" Target="../ctrlProps/ctrlProp141.xml"/><Relationship Id="rId21" Type="http://schemas.openxmlformats.org/officeDocument/2006/relationships/ctrlProp" Target="../ctrlProps/ctrlProp45.xml"/><Relationship Id="rId42" Type="http://schemas.openxmlformats.org/officeDocument/2006/relationships/ctrlProp" Target="../ctrlProps/ctrlProp66.xml"/><Relationship Id="rId47" Type="http://schemas.openxmlformats.org/officeDocument/2006/relationships/ctrlProp" Target="../ctrlProps/ctrlProp71.xml"/><Relationship Id="rId63" Type="http://schemas.openxmlformats.org/officeDocument/2006/relationships/ctrlProp" Target="../ctrlProps/ctrlProp87.xml"/><Relationship Id="rId68" Type="http://schemas.openxmlformats.org/officeDocument/2006/relationships/ctrlProp" Target="../ctrlProps/ctrlProp92.xml"/><Relationship Id="rId84" Type="http://schemas.openxmlformats.org/officeDocument/2006/relationships/ctrlProp" Target="../ctrlProps/ctrlProp108.xml"/><Relationship Id="rId89" Type="http://schemas.openxmlformats.org/officeDocument/2006/relationships/ctrlProp" Target="../ctrlProps/ctrlProp113.xml"/><Relationship Id="rId112" Type="http://schemas.openxmlformats.org/officeDocument/2006/relationships/ctrlProp" Target="../ctrlProps/ctrlProp136.xml"/><Relationship Id="rId16" Type="http://schemas.openxmlformats.org/officeDocument/2006/relationships/ctrlProp" Target="../ctrlProps/ctrlProp40.xml"/><Relationship Id="rId107" Type="http://schemas.openxmlformats.org/officeDocument/2006/relationships/ctrlProp" Target="../ctrlProps/ctrlProp131.xml"/><Relationship Id="rId11" Type="http://schemas.openxmlformats.org/officeDocument/2006/relationships/ctrlProp" Target="../ctrlProps/ctrlProp35.xml"/><Relationship Id="rId32" Type="http://schemas.openxmlformats.org/officeDocument/2006/relationships/ctrlProp" Target="../ctrlProps/ctrlProp56.xml"/><Relationship Id="rId37" Type="http://schemas.openxmlformats.org/officeDocument/2006/relationships/ctrlProp" Target="../ctrlProps/ctrlProp61.xml"/><Relationship Id="rId53" Type="http://schemas.openxmlformats.org/officeDocument/2006/relationships/ctrlProp" Target="../ctrlProps/ctrlProp77.xml"/><Relationship Id="rId58" Type="http://schemas.openxmlformats.org/officeDocument/2006/relationships/ctrlProp" Target="../ctrlProps/ctrlProp82.xml"/><Relationship Id="rId74" Type="http://schemas.openxmlformats.org/officeDocument/2006/relationships/ctrlProp" Target="../ctrlProps/ctrlProp98.xml"/><Relationship Id="rId79" Type="http://schemas.openxmlformats.org/officeDocument/2006/relationships/ctrlProp" Target="../ctrlProps/ctrlProp103.xml"/><Relationship Id="rId102" Type="http://schemas.openxmlformats.org/officeDocument/2006/relationships/ctrlProp" Target="../ctrlProps/ctrlProp126.xml"/><Relationship Id="rId5" Type="http://schemas.openxmlformats.org/officeDocument/2006/relationships/ctrlProp" Target="../ctrlProps/ctrlProp29.xml"/><Relationship Id="rId90" Type="http://schemas.openxmlformats.org/officeDocument/2006/relationships/ctrlProp" Target="../ctrlProps/ctrlProp114.xml"/><Relationship Id="rId95" Type="http://schemas.openxmlformats.org/officeDocument/2006/relationships/ctrlProp" Target="../ctrlProps/ctrlProp119.xml"/><Relationship Id="rId22" Type="http://schemas.openxmlformats.org/officeDocument/2006/relationships/ctrlProp" Target="../ctrlProps/ctrlProp46.xml"/><Relationship Id="rId27" Type="http://schemas.openxmlformats.org/officeDocument/2006/relationships/ctrlProp" Target="../ctrlProps/ctrlProp51.xml"/><Relationship Id="rId43" Type="http://schemas.openxmlformats.org/officeDocument/2006/relationships/ctrlProp" Target="../ctrlProps/ctrlProp67.xml"/><Relationship Id="rId48" Type="http://schemas.openxmlformats.org/officeDocument/2006/relationships/ctrlProp" Target="../ctrlProps/ctrlProp72.xml"/><Relationship Id="rId64" Type="http://schemas.openxmlformats.org/officeDocument/2006/relationships/ctrlProp" Target="../ctrlProps/ctrlProp88.xml"/><Relationship Id="rId69" Type="http://schemas.openxmlformats.org/officeDocument/2006/relationships/ctrlProp" Target="../ctrlProps/ctrlProp93.xml"/><Relationship Id="rId113" Type="http://schemas.openxmlformats.org/officeDocument/2006/relationships/ctrlProp" Target="../ctrlProps/ctrlProp137.xml"/><Relationship Id="rId118" Type="http://schemas.openxmlformats.org/officeDocument/2006/relationships/ctrlProp" Target="../ctrlProps/ctrlProp142.xml"/><Relationship Id="rId80" Type="http://schemas.openxmlformats.org/officeDocument/2006/relationships/ctrlProp" Target="../ctrlProps/ctrlProp104.xml"/><Relationship Id="rId85" Type="http://schemas.openxmlformats.org/officeDocument/2006/relationships/ctrlProp" Target="../ctrlProps/ctrlProp109.xml"/><Relationship Id="rId12" Type="http://schemas.openxmlformats.org/officeDocument/2006/relationships/ctrlProp" Target="../ctrlProps/ctrlProp36.xml"/><Relationship Id="rId17" Type="http://schemas.openxmlformats.org/officeDocument/2006/relationships/ctrlProp" Target="../ctrlProps/ctrlProp41.xml"/><Relationship Id="rId33" Type="http://schemas.openxmlformats.org/officeDocument/2006/relationships/ctrlProp" Target="../ctrlProps/ctrlProp57.xml"/><Relationship Id="rId38" Type="http://schemas.openxmlformats.org/officeDocument/2006/relationships/ctrlProp" Target="../ctrlProps/ctrlProp62.xml"/><Relationship Id="rId59" Type="http://schemas.openxmlformats.org/officeDocument/2006/relationships/ctrlProp" Target="../ctrlProps/ctrlProp83.xml"/><Relationship Id="rId103" Type="http://schemas.openxmlformats.org/officeDocument/2006/relationships/ctrlProp" Target="../ctrlProps/ctrlProp127.xml"/><Relationship Id="rId108" Type="http://schemas.openxmlformats.org/officeDocument/2006/relationships/ctrlProp" Target="../ctrlProps/ctrlProp132.xml"/><Relationship Id="rId54" Type="http://schemas.openxmlformats.org/officeDocument/2006/relationships/ctrlProp" Target="../ctrlProps/ctrlProp78.xml"/><Relationship Id="rId70" Type="http://schemas.openxmlformats.org/officeDocument/2006/relationships/ctrlProp" Target="../ctrlProps/ctrlProp94.xml"/><Relationship Id="rId75" Type="http://schemas.openxmlformats.org/officeDocument/2006/relationships/ctrlProp" Target="../ctrlProps/ctrlProp99.xml"/><Relationship Id="rId91" Type="http://schemas.openxmlformats.org/officeDocument/2006/relationships/ctrlProp" Target="../ctrlProps/ctrlProp115.xml"/><Relationship Id="rId96" Type="http://schemas.openxmlformats.org/officeDocument/2006/relationships/ctrlProp" Target="../ctrlProps/ctrlProp120.xml"/><Relationship Id="rId1" Type="http://schemas.openxmlformats.org/officeDocument/2006/relationships/printerSettings" Target="../printerSettings/printerSettings2.bin"/><Relationship Id="rId6" Type="http://schemas.openxmlformats.org/officeDocument/2006/relationships/ctrlProp" Target="../ctrlProps/ctrlProp30.xml"/><Relationship Id="rId23" Type="http://schemas.openxmlformats.org/officeDocument/2006/relationships/ctrlProp" Target="../ctrlProps/ctrlProp47.xml"/><Relationship Id="rId28" Type="http://schemas.openxmlformats.org/officeDocument/2006/relationships/ctrlProp" Target="../ctrlProps/ctrlProp52.xml"/><Relationship Id="rId49" Type="http://schemas.openxmlformats.org/officeDocument/2006/relationships/ctrlProp" Target="../ctrlProps/ctrlProp73.xml"/><Relationship Id="rId114" Type="http://schemas.openxmlformats.org/officeDocument/2006/relationships/ctrlProp" Target="../ctrlProps/ctrlProp138.xml"/><Relationship Id="rId119" Type="http://schemas.openxmlformats.org/officeDocument/2006/relationships/ctrlProp" Target="../ctrlProps/ctrlProp143.xml"/><Relationship Id="rId10" Type="http://schemas.openxmlformats.org/officeDocument/2006/relationships/ctrlProp" Target="../ctrlProps/ctrlProp34.xml"/><Relationship Id="rId31" Type="http://schemas.openxmlformats.org/officeDocument/2006/relationships/ctrlProp" Target="../ctrlProps/ctrlProp55.xml"/><Relationship Id="rId44" Type="http://schemas.openxmlformats.org/officeDocument/2006/relationships/ctrlProp" Target="../ctrlProps/ctrlProp68.xml"/><Relationship Id="rId52" Type="http://schemas.openxmlformats.org/officeDocument/2006/relationships/ctrlProp" Target="../ctrlProps/ctrlProp76.xml"/><Relationship Id="rId60" Type="http://schemas.openxmlformats.org/officeDocument/2006/relationships/ctrlProp" Target="../ctrlProps/ctrlProp84.xml"/><Relationship Id="rId65" Type="http://schemas.openxmlformats.org/officeDocument/2006/relationships/ctrlProp" Target="../ctrlProps/ctrlProp89.xml"/><Relationship Id="rId73" Type="http://schemas.openxmlformats.org/officeDocument/2006/relationships/ctrlProp" Target="../ctrlProps/ctrlProp97.xml"/><Relationship Id="rId78" Type="http://schemas.openxmlformats.org/officeDocument/2006/relationships/ctrlProp" Target="../ctrlProps/ctrlProp102.xml"/><Relationship Id="rId81" Type="http://schemas.openxmlformats.org/officeDocument/2006/relationships/ctrlProp" Target="../ctrlProps/ctrlProp105.xml"/><Relationship Id="rId86" Type="http://schemas.openxmlformats.org/officeDocument/2006/relationships/ctrlProp" Target="../ctrlProps/ctrlProp110.xml"/><Relationship Id="rId94" Type="http://schemas.openxmlformats.org/officeDocument/2006/relationships/ctrlProp" Target="../ctrlProps/ctrlProp118.xml"/><Relationship Id="rId99" Type="http://schemas.openxmlformats.org/officeDocument/2006/relationships/ctrlProp" Target="../ctrlProps/ctrlProp123.xml"/><Relationship Id="rId101" Type="http://schemas.openxmlformats.org/officeDocument/2006/relationships/ctrlProp" Target="../ctrlProps/ctrlProp125.xml"/><Relationship Id="rId4" Type="http://schemas.openxmlformats.org/officeDocument/2006/relationships/ctrlProp" Target="../ctrlProps/ctrlProp28.xml"/><Relationship Id="rId9" Type="http://schemas.openxmlformats.org/officeDocument/2006/relationships/ctrlProp" Target="../ctrlProps/ctrlProp33.xml"/><Relationship Id="rId13" Type="http://schemas.openxmlformats.org/officeDocument/2006/relationships/ctrlProp" Target="../ctrlProps/ctrlProp37.xml"/><Relationship Id="rId18" Type="http://schemas.openxmlformats.org/officeDocument/2006/relationships/ctrlProp" Target="../ctrlProps/ctrlProp42.xml"/><Relationship Id="rId39" Type="http://schemas.openxmlformats.org/officeDocument/2006/relationships/ctrlProp" Target="../ctrlProps/ctrlProp63.xml"/><Relationship Id="rId109" Type="http://schemas.openxmlformats.org/officeDocument/2006/relationships/ctrlProp" Target="../ctrlProps/ctrlProp133.xml"/><Relationship Id="rId34" Type="http://schemas.openxmlformats.org/officeDocument/2006/relationships/ctrlProp" Target="../ctrlProps/ctrlProp58.xml"/><Relationship Id="rId50" Type="http://schemas.openxmlformats.org/officeDocument/2006/relationships/ctrlProp" Target="../ctrlProps/ctrlProp74.xml"/><Relationship Id="rId55" Type="http://schemas.openxmlformats.org/officeDocument/2006/relationships/ctrlProp" Target="../ctrlProps/ctrlProp79.xml"/><Relationship Id="rId76" Type="http://schemas.openxmlformats.org/officeDocument/2006/relationships/ctrlProp" Target="../ctrlProps/ctrlProp100.xml"/><Relationship Id="rId97" Type="http://schemas.openxmlformats.org/officeDocument/2006/relationships/ctrlProp" Target="../ctrlProps/ctrlProp121.xml"/><Relationship Id="rId104" Type="http://schemas.openxmlformats.org/officeDocument/2006/relationships/ctrlProp" Target="../ctrlProps/ctrlProp128.xml"/><Relationship Id="rId120" Type="http://schemas.openxmlformats.org/officeDocument/2006/relationships/ctrlProp" Target="../ctrlProps/ctrlProp144.xml"/><Relationship Id="rId7" Type="http://schemas.openxmlformats.org/officeDocument/2006/relationships/ctrlProp" Target="../ctrlProps/ctrlProp31.xml"/><Relationship Id="rId71" Type="http://schemas.openxmlformats.org/officeDocument/2006/relationships/ctrlProp" Target="../ctrlProps/ctrlProp95.xml"/><Relationship Id="rId92" Type="http://schemas.openxmlformats.org/officeDocument/2006/relationships/ctrlProp" Target="../ctrlProps/ctrlProp116.xml"/><Relationship Id="rId2" Type="http://schemas.openxmlformats.org/officeDocument/2006/relationships/drawing" Target="../drawings/drawing2.xml"/><Relationship Id="rId29" Type="http://schemas.openxmlformats.org/officeDocument/2006/relationships/ctrlProp" Target="../ctrlProps/ctrlProp53.xml"/><Relationship Id="rId24" Type="http://schemas.openxmlformats.org/officeDocument/2006/relationships/ctrlProp" Target="../ctrlProps/ctrlProp48.xml"/><Relationship Id="rId40" Type="http://schemas.openxmlformats.org/officeDocument/2006/relationships/ctrlProp" Target="../ctrlProps/ctrlProp64.xml"/><Relationship Id="rId45" Type="http://schemas.openxmlformats.org/officeDocument/2006/relationships/ctrlProp" Target="../ctrlProps/ctrlProp69.xml"/><Relationship Id="rId66" Type="http://schemas.openxmlformats.org/officeDocument/2006/relationships/ctrlProp" Target="../ctrlProps/ctrlProp90.xml"/><Relationship Id="rId87" Type="http://schemas.openxmlformats.org/officeDocument/2006/relationships/ctrlProp" Target="../ctrlProps/ctrlProp111.xml"/><Relationship Id="rId110" Type="http://schemas.openxmlformats.org/officeDocument/2006/relationships/ctrlProp" Target="../ctrlProps/ctrlProp134.xml"/><Relationship Id="rId115" Type="http://schemas.openxmlformats.org/officeDocument/2006/relationships/ctrlProp" Target="../ctrlProps/ctrlProp139.xml"/><Relationship Id="rId61" Type="http://schemas.openxmlformats.org/officeDocument/2006/relationships/ctrlProp" Target="../ctrlProps/ctrlProp85.xml"/><Relationship Id="rId82" Type="http://schemas.openxmlformats.org/officeDocument/2006/relationships/ctrlProp" Target="../ctrlProps/ctrlProp106.xml"/><Relationship Id="rId19" Type="http://schemas.openxmlformats.org/officeDocument/2006/relationships/ctrlProp" Target="../ctrlProps/ctrlProp43.xml"/><Relationship Id="rId14" Type="http://schemas.openxmlformats.org/officeDocument/2006/relationships/ctrlProp" Target="../ctrlProps/ctrlProp38.xml"/><Relationship Id="rId30" Type="http://schemas.openxmlformats.org/officeDocument/2006/relationships/ctrlProp" Target="../ctrlProps/ctrlProp54.xml"/><Relationship Id="rId35" Type="http://schemas.openxmlformats.org/officeDocument/2006/relationships/ctrlProp" Target="../ctrlProps/ctrlProp59.xml"/><Relationship Id="rId56" Type="http://schemas.openxmlformats.org/officeDocument/2006/relationships/ctrlProp" Target="../ctrlProps/ctrlProp80.xml"/><Relationship Id="rId77" Type="http://schemas.openxmlformats.org/officeDocument/2006/relationships/ctrlProp" Target="../ctrlProps/ctrlProp101.xml"/><Relationship Id="rId100" Type="http://schemas.openxmlformats.org/officeDocument/2006/relationships/ctrlProp" Target="../ctrlProps/ctrlProp124.xml"/><Relationship Id="rId105" Type="http://schemas.openxmlformats.org/officeDocument/2006/relationships/ctrlProp" Target="../ctrlProps/ctrlProp129.xml"/><Relationship Id="rId8" Type="http://schemas.openxmlformats.org/officeDocument/2006/relationships/ctrlProp" Target="../ctrlProps/ctrlProp32.xml"/><Relationship Id="rId51" Type="http://schemas.openxmlformats.org/officeDocument/2006/relationships/ctrlProp" Target="../ctrlProps/ctrlProp75.xml"/><Relationship Id="rId72" Type="http://schemas.openxmlformats.org/officeDocument/2006/relationships/ctrlProp" Target="../ctrlProps/ctrlProp96.xml"/><Relationship Id="rId93" Type="http://schemas.openxmlformats.org/officeDocument/2006/relationships/ctrlProp" Target="../ctrlProps/ctrlProp117.xml"/><Relationship Id="rId98" Type="http://schemas.openxmlformats.org/officeDocument/2006/relationships/ctrlProp" Target="../ctrlProps/ctrlProp122.xml"/><Relationship Id="rId3" Type="http://schemas.openxmlformats.org/officeDocument/2006/relationships/vmlDrawing" Target="../drawings/vmlDrawing2.vml"/><Relationship Id="rId25" Type="http://schemas.openxmlformats.org/officeDocument/2006/relationships/ctrlProp" Target="../ctrlProps/ctrlProp49.xml"/><Relationship Id="rId46" Type="http://schemas.openxmlformats.org/officeDocument/2006/relationships/ctrlProp" Target="../ctrlProps/ctrlProp70.xml"/><Relationship Id="rId67" Type="http://schemas.openxmlformats.org/officeDocument/2006/relationships/ctrlProp" Target="../ctrlProps/ctrlProp91.xml"/><Relationship Id="rId116" Type="http://schemas.openxmlformats.org/officeDocument/2006/relationships/ctrlProp" Target="../ctrlProps/ctrlProp140.xml"/><Relationship Id="rId20" Type="http://schemas.openxmlformats.org/officeDocument/2006/relationships/ctrlProp" Target="../ctrlProps/ctrlProp44.xml"/><Relationship Id="rId41" Type="http://schemas.openxmlformats.org/officeDocument/2006/relationships/ctrlProp" Target="../ctrlProps/ctrlProp65.xml"/><Relationship Id="rId62" Type="http://schemas.openxmlformats.org/officeDocument/2006/relationships/ctrlProp" Target="../ctrlProps/ctrlProp86.xml"/><Relationship Id="rId83" Type="http://schemas.openxmlformats.org/officeDocument/2006/relationships/ctrlProp" Target="../ctrlProps/ctrlProp107.xml"/><Relationship Id="rId88" Type="http://schemas.openxmlformats.org/officeDocument/2006/relationships/ctrlProp" Target="../ctrlProps/ctrlProp112.xml"/><Relationship Id="rId111" Type="http://schemas.openxmlformats.org/officeDocument/2006/relationships/ctrlProp" Target="../ctrlProps/ctrlProp135.xml"/><Relationship Id="rId15" Type="http://schemas.openxmlformats.org/officeDocument/2006/relationships/ctrlProp" Target="../ctrlProps/ctrlProp39.xml"/><Relationship Id="rId36" Type="http://schemas.openxmlformats.org/officeDocument/2006/relationships/ctrlProp" Target="../ctrlProps/ctrlProp60.xml"/><Relationship Id="rId57" Type="http://schemas.openxmlformats.org/officeDocument/2006/relationships/ctrlProp" Target="../ctrlProps/ctrlProp81.xml"/><Relationship Id="rId106" Type="http://schemas.openxmlformats.org/officeDocument/2006/relationships/ctrlProp" Target="../ctrlProps/ctrlProp130.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50.xml"/><Relationship Id="rId13" Type="http://schemas.openxmlformats.org/officeDocument/2006/relationships/ctrlProp" Target="../ctrlProps/ctrlProp155.xml"/><Relationship Id="rId3" Type="http://schemas.openxmlformats.org/officeDocument/2006/relationships/ctrlProp" Target="../ctrlProps/ctrlProp145.xml"/><Relationship Id="rId7" Type="http://schemas.openxmlformats.org/officeDocument/2006/relationships/ctrlProp" Target="../ctrlProps/ctrlProp149.xml"/><Relationship Id="rId12" Type="http://schemas.openxmlformats.org/officeDocument/2006/relationships/ctrlProp" Target="../ctrlProps/ctrlProp154.xml"/><Relationship Id="rId17" Type="http://schemas.openxmlformats.org/officeDocument/2006/relationships/ctrlProp" Target="../ctrlProps/ctrlProp159.xml"/><Relationship Id="rId2" Type="http://schemas.openxmlformats.org/officeDocument/2006/relationships/vmlDrawing" Target="../drawings/vmlDrawing3.vml"/><Relationship Id="rId16" Type="http://schemas.openxmlformats.org/officeDocument/2006/relationships/ctrlProp" Target="../ctrlProps/ctrlProp158.xml"/><Relationship Id="rId1" Type="http://schemas.openxmlformats.org/officeDocument/2006/relationships/drawing" Target="../drawings/drawing3.xml"/><Relationship Id="rId6" Type="http://schemas.openxmlformats.org/officeDocument/2006/relationships/ctrlProp" Target="../ctrlProps/ctrlProp148.xml"/><Relationship Id="rId11" Type="http://schemas.openxmlformats.org/officeDocument/2006/relationships/ctrlProp" Target="../ctrlProps/ctrlProp153.xml"/><Relationship Id="rId5" Type="http://schemas.openxmlformats.org/officeDocument/2006/relationships/ctrlProp" Target="../ctrlProps/ctrlProp147.xml"/><Relationship Id="rId15" Type="http://schemas.openxmlformats.org/officeDocument/2006/relationships/ctrlProp" Target="../ctrlProps/ctrlProp157.xml"/><Relationship Id="rId10" Type="http://schemas.openxmlformats.org/officeDocument/2006/relationships/ctrlProp" Target="../ctrlProps/ctrlProp152.xml"/><Relationship Id="rId4" Type="http://schemas.openxmlformats.org/officeDocument/2006/relationships/ctrlProp" Target="../ctrlProps/ctrlProp146.xml"/><Relationship Id="rId9" Type="http://schemas.openxmlformats.org/officeDocument/2006/relationships/ctrlProp" Target="../ctrlProps/ctrlProp151.xml"/><Relationship Id="rId14" Type="http://schemas.openxmlformats.org/officeDocument/2006/relationships/ctrlProp" Target="../ctrlProps/ctrlProp15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A6260-C665-4E26-BFF5-E7213E1815E2}">
  <sheetPr codeName="Foglio5"/>
  <dimension ref="A1:O39"/>
  <sheetViews>
    <sheetView showGridLines="0" tabSelected="1" zoomScaleNormal="100" workbookViewId="0">
      <selection activeCell="F1" sqref="F1"/>
    </sheetView>
  </sheetViews>
  <sheetFormatPr defaultColWidth="0" defaultRowHeight="15" outlineLevelCol="1" x14ac:dyDescent="0.25"/>
  <cols>
    <col min="1" max="2" width="7.7109375" customWidth="1"/>
    <col min="3" max="3" width="15.7109375" customWidth="1"/>
    <col min="4" max="4" width="10.7109375" customWidth="1"/>
    <col min="5" max="5" width="110.7109375" customWidth="1"/>
    <col min="6" max="6" width="4.28515625" customWidth="1"/>
    <col min="7" max="7" width="9.140625" style="29" customWidth="1"/>
    <col min="8" max="9" width="35.7109375" style="29" hidden="1" customWidth="1" outlineLevel="1"/>
    <col min="10" max="13" width="25.7109375" style="29" hidden="1" customWidth="1" outlineLevel="1"/>
    <col min="14" max="14" width="9.140625" style="29" hidden="1" customWidth="1" outlineLevel="1"/>
    <col min="15" max="15" width="9.140625" style="29" customWidth="1" collapsed="1"/>
    <col min="16" max="16384" width="9.140625" hidden="1"/>
  </cols>
  <sheetData>
    <row r="1" spans="1:14" ht="90" customHeight="1" thickBot="1" x14ac:dyDescent="0.3">
      <c r="A1" s="112"/>
      <c r="B1" s="135"/>
      <c r="C1" s="64"/>
      <c r="D1" s="112"/>
      <c r="E1" s="112"/>
      <c r="F1" s="45"/>
      <c r="G1" s="162"/>
      <c r="H1" s="53"/>
      <c r="I1" s="53"/>
      <c r="J1" s="53"/>
      <c r="K1" s="53"/>
      <c r="L1" s="53"/>
      <c r="M1" s="53"/>
      <c r="N1" s="53"/>
    </row>
    <row r="2" spans="1:14" ht="18" thickTop="1" thickBot="1" x14ac:dyDescent="0.3">
      <c r="A2" s="59"/>
      <c r="B2" s="60"/>
      <c r="C2" s="136" t="s">
        <v>458</v>
      </c>
      <c r="D2" s="59"/>
      <c r="E2" s="59"/>
      <c r="F2" s="47"/>
      <c r="G2" s="163"/>
      <c r="H2" s="54"/>
      <c r="I2" s="54"/>
      <c r="J2" s="54"/>
      <c r="K2" s="54"/>
      <c r="L2" s="54"/>
      <c r="M2" s="54"/>
      <c r="N2" s="54"/>
    </row>
    <row r="3" spans="1:14" ht="18" thickTop="1" thickBot="1" x14ac:dyDescent="0.3">
      <c r="A3" s="170" t="s">
        <v>424</v>
      </c>
      <c r="B3" s="170"/>
      <c r="C3" s="171" t="s">
        <v>426</v>
      </c>
      <c r="D3" s="171"/>
      <c r="E3" s="171"/>
      <c r="F3" s="48"/>
      <c r="G3" s="164"/>
      <c r="H3" s="55"/>
      <c r="I3" s="55"/>
      <c r="J3" s="55"/>
      <c r="K3" s="55"/>
      <c r="L3" s="55"/>
      <c r="M3" s="55"/>
      <c r="N3" s="55"/>
    </row>
    <row r="4" spans="1:14" ht="18" thickTop="1" thickBot="1" x14ac:dyDescent="0.3">
      <c r="A4" s="68"/>
      <c r="B4" s="137"/>
      <c r="C4" s="68"/>
      <c r="D4" s="68"/>
      <c r="E4" s="68"/>
      <c r="F4" s="48"/>
      <c r="G4" s="164"/>
      <c r="H4" s="55"/>
      <c r="I4" s="55"/>
      <c r="J4" s="55"/>
      <c r="K4" s="55"/>
      <c r="L4" s="55"/>
      <c r="M4" s="55"/>
      <c r="N4" s="55"/>
    </row>
    <row r="5" spans="1:14" ht="18" thickTop="1" thickBot="1" x14ac:dyDescent="0.3">
      <c r="A5" s="68" t="s">
        <v>425</v>
      </c>
      <c r="B5" s="68"/>
      <c r="C5" s="158">
        <v>45253</v>
      </c>
      <c r="D5" s="68" t="s">
        <v>448</v>
      </c>
      <c r="E5" s="157" t="s">
        <v>461</v>
      </c>
      <c r="F5" s="48"/>
      <c r="G5" s="164"/>
      <c r="H5" s="55"/>
      <c r="I5" s="55"/>
      <c r="J5" s="55"/>
      <c r="K5" s="55"/>
      <c r="L5" s="55"/>
      <c r="M5" s="55"/>
      <c r="N5" s="55"/>
    </row>
    <row r="6" spans="1:14" ht="18" thickTop="1" thickBot="1" x14ac:dyDescent="0.3">
      <c r="A6" s="68"/>
      <c r="B6" s="137"/>
      <c r="C6" s="68"/>
      <c r="D6" s="68"/>
      <c r="E6" s="68"/>
      <c r="F6" s="48"/>
      <c r="G6" s="164"/>
      <c r="H6" s="55"/>
      <c r="I6" s="55"/>
      <c r="J6" s="55"/>
      <c r="K6" s="55"/>
      <c r="L6" s="55"/>
      <c r="M6" s="55"/>
      <c r="N6" s="55"/>
    </row>
    <row r="7" spans="1:14" ht="90.75" customHeight="1" thickTop="1" thickBot="1" x14ac:dyDescent="0.3">
      <c r="A7" s="42"/>
      <c r="B7" s="43"/>
      <c r="C7" s="44"/>
      <c r="D7" s="42"/>
      <c r="E7" s="42"/>
      <c r="F7" s="45"/>
      <c r="G7" s="162"/>
      <c r="H7" s="53"/>
      <c r="I7" s="53"/>
      <c r="J7" s="53"/>
      <c r="K7" s="53"/>
      <c r="L7" s="53"/>
      <c r="M7" s="53"/>
      <c r="N7" s="53"/>
    </row>
    <row r="8" spans="1:14" ht="39.950000000000003" customHeight="1" thickTop="1" x14ac:dyDescent="0.25">
      <c r="A8" s="150">
        <v>1</v>
      </c>
      <c r="B8" s="148"/>
      <c r="C8" s="148"/>
      <c r="D8" s="148" t="s">
        <v>0</v>
      </c>
      <c r="E8" s="148"/>
      <c r="F8" s="148"/>
      <c r="G8" s="156"/>
      <c r="H8" s="159" t="s">
        <v>111</v>
      </c>
      <c r="I8" s="159" t="s">
        <v>112</v>
      </c>
      <c r="J8" s="159" t="s">
        <v>121</v>
      </c>
      <c r="K8" s="159" t="s">
        <v>113</v>
      </c>
      <c r="L8" s="159" t="s">
        <v>174</v>
      </c>
      <c r="M8" s="159" t="s">
        <v>106</v>
      </c>
      <c r="N8" s="165"/>
    </row>
    <row r="9" spans="1:14" ht="35.1" customHeight="1" thickBot="1" x14ac:dyDescent="0.3">
      <c r="A9" s="59"/>
      <c r="B9" s="60"/>
      <c r="C9" s="61" t="s">
        <v>1</v>
      </c>
      <c r="D9" s="59"/>
      <c r="E9" s="59" t="s">
        <v>67</v>
      </c>
      <c r="F9" s="51" t="b">
        <v>0</v>
      </c>
      <c r="G9" s="163"/>
      <c r="H9" s="65" t="s">
        <v>107</v>
      </c>
      <c r="I9" s="65" t="s">
        <v>122</v>
      </c>
      <c r="J9" s="65" t="s">
        <v>123</v>
      </c>
      <c r="K9" s="65" t="s">
        <v>108</v>
      </c>
      <c r="L9" s="54" t="str">
        <f ca="1">+OFFSET(F9,0,IF(F9,2,3))</f>
        <v>L’impresa non dispone delle risorse chiave (umane e tecniche) per la conduzione dell’attività.</v>
      </c>
      <c r="M9" s="54" t="str">
        <f ca="1">+OFFSET(F9,0,IF(F9,4,5))</f>
        <v>L’impresa come pensa di procurarsi tali risorse?</v>
      </c>
      <c r="N9" s="54"/>
    </row>
    <row r="10" spans="1:14" ht="35.1" customHeight="1" thickTop="1" thickBot="1" x14ac:dyDescent="0.3">
      <c r="A10" s="59"/>
      <c r="B10" s="60"/>
      <c r="C10" s="61" t="s">
        <v>2</v>
      </c>
      <c r="D10" s="59"/>
      <c r="E10" s="59" t="s">
        <v>71</v>
      </c>
      <c r="F10" s="51" t="b">
        <v>0</v>
      </c>
      <c r="G10" s="163"/>
      <c r="H10" s="65" t="s">
        <v>124</v>
      </c>
      <c r="I10" s="65" t="s">
        <v>125</v>
      </c>
      <c r="J10" s="65" t="s">
        <v>123</v>
      </c>
      <c r="K10" s="65" t="s">
        <v>114</v>
      </c>
      <c r="L10" s="54" t="str">
        <f t="shared" ref="L10:L37" ca="1" si="0">+OFFSET(F10,0,IF(F10,2,3))</f>
        <v>Da un punto di vista tecnico/economico, l’impresa  non dispone delle competenze necessarie per le iniziative industriali che l’imprenditore intende adottare.</v>
      </c>
      <c r="M10" s="54" t="str">
        <f t="shared" ref="M10:M37" ca="1" si="1">+OFFSET(F10,0,IF(F10,4,5))</f>
        <v>Indicare le iniziative industriali per le quali l'impresa sia realisticamente in grado di disporre, eventualmente acquisendole sul mercato, delle competenze tecniche occorrenti:</v>
      </c>
      <c r="N10" s="54"/>
    </row>
    <row r="11" spans="1:14" ht="35.1" customHeight="1" thickTop="1" thickBot="1" x14ac:dyDescent="0.3">
      <c r="A11" s="59"/>
      <c r="B11" s="60"/>
      <c r="C11" s="61" t="s">
        <v>3</v>
      </c>
      <c r="D11" s="59"/>
      <c r="E11" s="59" t="s">
        <v>61</v>
      </c>
      <c r="F11" s="51" t="b">
        <v>0</v>
      </c>
      <c r="G11" s="163"/>
      <c r="H11" s="65" t="s">
        <v>126</v>
      </c>
      <c r="I11" s="65" t="s">
        <v>127</v>
      </c>
      <c r="J11" s="65" t="s">
        <v>123</v>
      </c>
      <c r="K11" s="65" t="s">
        <v>115</v>
      </c>
      <c r="L11" s="54" t="str">
        <f t="shared" ca="1" si="0"/>
        <v>Il monitoraggio dell'andamento aziendale appare inadeguato.</v>
      </c>
      <c r="M11" s="54" t="str">
        <f t="shared" ca="1" si="1"/>
        <v>Indicare cosa intende fare per controllare la gestione</v>
      </c>
      <c r="N11" s="54"/>
    </row>
    <row r="12" spans="1:14" ht="35.1" customHeight="1" thickTop="1" thickBot="1" x14ac:dyDescent="0.3">
      <c r="A12" s="59"/>
      <c r="B12" s="60"/>
      <c r="C12" s="61"/>
      <c r="D12" s="59"/>
      <c r="E12" s="169" t="s">
        <v>462</v>
      </c>
      <c r="F12" s="51" t="b">
        <v>0</v>
      </c>
      <c r="G12" s="163"/>
      <c r="H12" s="65" t="s">
        <v>292</v>
      </c>
      <c r="I12" s="65" t="s">
        <v>295</v>
      </c>
      <c r="J12" s="65" t="s">
        <v>123</v>
      </c>
      <c r="K12" s="65" t="s">
        <v>128</v>
      </c>
      <c r="L12" s="54" t="str">
        <f t="shared" ca="1" si="0"/>
        <v>I ricavi non sono controllati in maniera adeguata.</v>
      </c>
      <c r="M12" s="54" t="str">
        <f t="shared" ca="1" si="1"/>
        <v>Indicare quale controllo viene fatto e come si intende intervenire per migliorare il sistema di controllo.</v>
      </c>
      <c r="N12" s="54"/>
    </row>
    <row r="13" spans="1:14" ht="35.1" customHeight="1" thickTop="1" thickBot="1" x14ac:dyDescent="0.3">
      <c r="A13" s="59"/>
      <c r="B13" s="60"/>
      <c r="C13" s="61"/>
      <c r="D13" s="59"/>
      <c r="E13" s="169" t="s">
        <v>463</v>
      </c>
      <c r="F13" s="51" t="b">
        <v>0</v>
      </c>
      <c r="G13" s="163"/>
      <c r="H13" s="65" t="s">
        <v>293</v>
      </c>
      <c r="I13" s="65" t="s">
        <v>296</v>
      </c>
      <c r="J13" s="65" t="s">
        <v>123</v>
      </c>
      <c r="K13" s="65" t="s">
        <v>128</v>
      </c>
      <c r="L13" s="54" t="str">
        <f t="shared" ca="1" si="0"/>
        <v>Gli ordini non sono controllati in maniera adeguata.</v>
      </c>
      <c r="M13" s="54" t="str">
        <f t="shared" ca="1" si="1"/>
        <v>Indicare quale controllo viene fatto e come si intende intervenire per migliorare il sistema di controllo.</v>
      </c>
      <c r="N13" s="54"/>
    </row>
    <row r="14" spans="1:14" ht="35.1" customHeight="1" thickTop="1" thickBot="1" x14ac:dyDescent="0.3">
      <c r="A14" s="59"/>
      <c r="B14" s="60"/>
      <c r="C14" s="61"/>
      <c r="D14" s="59"/>
      <c r="E14" s="169" t="s">
        <v>464</v>
      </c>
      <c r="F14" s="51" t="b">
        <v>0</v>
      </c>
      <c r="G14" s="163"/>
      <c r="H14" s="65" t="s">
        <v>294</v>
      </c>
      <c r="I14" s="65" t="s">
        <v>297</v>
      </c>
      <c r="J14" s="65" t="s">
        <v>123</v>
      </c>
      <c r="K14" s="65" t="s">
        <v>128</v>
      </c>
      <c r="L14" s="54" t="str">
        <f t="shared" ca="1" si="0"/>
        <v>La posizione finanziaria netta non è costantemente monitorata.</v>
      </c>
      <c r="M14" s="54" t="str">
        <f t="shared" ca="1" si="1"/>
        <v>Indicare quale controllo viene fatto e come si intende intervenire per migliorare il sistema di controllo.</v>
      </c>
      <c r="N14" s="54"/>
    </row>
    <row r="15" spans="1:14" ht="35.1" customHeight="1" thickTop="1" thickBot="1" x14ac:dyDescent="0.3">
      <c r="A15" s="59"/>
      <c r="B15" s="60"/>
      <c r="C15" s="61" t="s">
        <v>4</v>
      </c>
      <c r="D15" s="59"/>
      <c r="E15" s="59" t="s">
        <v>72</v>
      </c>
      <c r="F15" s="51" t="b">
        <v>0</v>
      </c>
      <c r="G15" s="163"/>
      <c r="H15" s="65" t="s">
        <v>307</v>
      </c>
      <c r="I15" s="65" t="s">
        <v>308</v>
      </c>
      <c r="J15" s="65"/>
      <c r="K15" s="65"/>
      <c r="L15" s="54" t="str">
        <f t="shared" ca="1" si="0"/>
        <v>L'impresa non fa ancora ricorso a KPI che consentono valutazioni rapide e continue,</v>
      </c>
      <c r="M15" s="54">
        <f t="shared" ca="1" si="1"/>
        <v>0</v>
      </c>
      <c r="N15" s="54"/>
    </row>
    <row r="16" spans="1:14" ht="35.1" customHeight="1" thickTop="1" thickBot="1" x14ac:dyDescent="0.3">
      <c r="A16" s="59"/>
      <c r="B16" s="60"/>
      <c r="C16" s="61"/>
      <c r="D16" s="59"/>
      <c r="E16" s="62" t="s">
        <v>136</v>
      </c>
      <c r="F16" s="51" t="b">
        <v>0</v>
      </c>
      <c r="G16" s="163"/>
      <c r="H16" s="65" t="s">
        <v>309</v>
      </c>
      <c r="I16" s="65" t="s">
        <v>310</v>
      </c>
      <c r="J16" s="65" t="s">
        <v>129</v>
      </c>
      <c r="K16" s="65" t="s">
        <v>306</v>
      </c>
      <c r="L16" s="54" t="str">
        <f t="shared" ca="1" si="0"/>
        <v>non è in grado di individuare gli indicatori di produttività coerenti con il proprio modello di business ed il proprio settore di attività, e di raccogliere ulteriori informazioni per la valutazione dell’andamento tendenziale.</v>
      </c>
      <c r="M16" s="54" t="str">
        <f t="shared" ca="1" si="1"/>
        <v>Indicare se e quando intende adottare i KPI, quale metodologia intende adottare (BSC, BMC, KPI, ecc) e  quali controlli avvengono per misurare la produttività aziendale.</v>
      </c>
      <c r="N16" s="54"/>
    </row>
    <row r="17" spans="1:14" ht="35.1" customHeight="1" thickTop="1" thickBot="1" x14ac:dyDescent="0.3">
      <c r="A17" s="59"/>
      <c r="B17" s="60"/>
      <c r="C17" s="61" t="s">
        <v>5</v>
      </c>
      <c r="D17" s="59"/>
      <c r="E17" s="59" t="s">
        <v>116</v>
      </c>
      <c r="F17" s="51" t="b">
        <v>0</v>
      </c>
      <c r="G17" s="163"/>
      <c r="H17" s="65" t="s">
        <v>312</v>
      </c>
      <c r="I17" s="65" t="s">
        <v>311</v>
      </c>
      <c r="J17" s="65" t="s">
        <v>123</v>
      </c>
      <c r="K17" s="65" t="s">
        <v>130</v>
      </c>
      <c r="L17" s="54" t="str">
        <f t="shared" ca="1" si="0"/>
        <v>L'impresa non dispone di un piano di tesoreria a 12 mesi.</v>
      </c>
      <c r="M17" s="54" t="str">
        <f t="shared" ca="1" si="1"/>
        <v>Spiegare le motivazioni per le quali non è stato redatto un piano di tesoreria e come si intende rimuovere gli ostacoli.</v>
      </c>
      <c r="N17" s="54"/>
    </row>
    <row r="18" spans="1:14" ht="35.1" customHeight="1" thickTop="1" thickBot="1" x14ac:dyDescent="0.3">
      <c r="A18" s="59"/>
      <c r="B18" s="60"/>
      <c r="C18" s="61"/>
      <c r="D18" s="61"/>
      <c r="E18" s="62" t="s">
        <v>109</v>
      </c>
      <c r="F18" s="51" t="b">
        <v>0</v>
      </c>
      <c r="G18" s="163"/>
      <c r="H18" s="65" t="s">
        <v>300</v>
      </c>
      <c r="I18" s="65" t="s">
        <v>301</v>
      </c>
      <c r="J18" s="65" t="s">
        <v>123</v>
      </c>
      <c r="K18" s="65" t="s">
        <v>131</v>
      </c>
      <c r="L18" s="54" t="str">
        <f t="shared" ca="1" si="0"/>
        <v>Non è in grado di predisporre un prospetto delle stime delle entrate e delle uscite finanziare almeno a 13 settimane, il cui scostamento con l’andamento corrente dovrà essere valutato a consuntivo.</v>
      </c>
      <c r="M18" s="54" t="str">
        <f t="shared" ca="1" si="1"/>
        <v>Spiegare le motivazioni per le quali non è stato redatto il prospetto e come si intende rimuovere gli ostacoli.</v>
      </c>
      <c r="N18" s="166"/>
    </row>
    <row r="19" spans="1:14" ht="35.1" customHeight="1" thickTop="1" x14ac:dyDescent="0.25">
      <c r="A19" s="63"/>
      <c r="B19" s="63"/>
      <c r="C19" s="63"/>
      <c r="D19" s="63"/>
      <c r="E19" s="63"/>
      <c r="F19" s="52"/>
      <c r="G19" s="167"/>
      <c r="H19" s="56"/>
      <c r="I19" s="56"/>
      <c r="J19" s="56"/>
      <c r="K19" s="56"/>
      <c r="L19" s="54">
        <f ca="1">+OFFSET(F19,0,IF(F19,2,3))</f>
        <v>0</v>
      </c>
      <c r="M19" s="54">
        <f ca="1">+OFFSET(F19,0,IF(F19,4,5))</f>
        <v>0</v>
      </c>
      <c r="N19" s="56"/>
    </row>
    <row r="20" spans="1:14" ht="39.950000000000003" customHeight="1" x14ac:dyDescent="0.25">
      <c r="A20" s="150" t="s">
        <v>6</v>
      </c>
      <c r="B20" s="148"/>
      <c r="C20" s="148"/>
      <c r="D20" s="148" t="s">
        <v>7</v>
      </c>
      <c r="E20" s="148"/>
      <c r="F20" s="156"/>
      <c r="G20" s="156"/>
      <c r="H20" s="159" t="s">
        <v>111</v>
      </c>
      <c r="I20" s="159" t="s">
        <v>112</v>
      </c>
      <c r="J20" s="159" t="s">
        <v>121</v>
      </c>
      <c r="K20" s="159" t="s">
        <v>113</v>
      </c>
      <c r="L20" s="159" t="str">
        <f ca="1">+OFFSET(F20,0,IF(F20,2,3))</f>
        <v>Frase FALSO</v>
      </c>
      <c r="M20" s="159" t="str">
        <f ca="1">+OFFSET(F20,0,IF(F20,4,5))</f>
        <v>Frase suggerimento per commenti in caso di risposta negativa</v>
      </c>
      <c r="N20" s="165"/>
    </row>
    <row r="21" spans="1:14" ht="35.1" customHeight="1" thickBot="1" x14ac:dyDescent="0.3">
      <c r="A21" s="59"/>
      <c r="B21" s="60"/>
      <c r="C21" s="61" t="s">
        <v>8</v>
      </c>
      <c r="D21" s="59"/>
      <c r="E21" s="59" t="s">
        <v>73</v>
      </c>
      <c r="F21" s="51" t="b">
        <v>0</v>
      </c>
      <c r="G21" s="163"/>
      <c r="H21" s="65" t="s">
        <v>427</v>
      </c>
      <c r="I21" s="65" t="s">
        <v>428</v>
      </c>
      <c r="J21" s="65" t="s">
        <v>123</v>
      </c>
      <c r="K21" s="65" t="s">
        <v>429</v>
      </c>
      <c r="L21" s="54" t="str">
        <f t="shared" ca="1" si="0"/>
        <v>L'ultima situazione redatta risale a oltre 120 giorni.</v>
      </c>
      <c r="M21" s="54" t="str">
        <f t="shared" ca="1" si="1"/>
        <v>Indicare i tempi previsti per una situazione aggiornata</v>
      </c>
      <c r="N21" s="54"/>
    </row>
    <row r="22" spans="1:14" ht="35.1" customHeight="1" thickTop="1" thickBot="1" x14ac:dyDescent="0.3">
      <c r="A22" s="59"/>
      <c r="B22" s="60"/>
      <c r="C22" s="61" t="s">
        <v>9</v>
      </c>
      <c r="D22" s="59"/>
      <c r="E22" s="59" t="s">
        <v>117</v>
      </c>
      <c r="F22" s="51" t="b">
        <v>0</v>
      </c>
      <c r="G22" s="163"/>
      <c r="H22" s="65" t="s">
        <v>132</v>
      </c>
      <c r="I22" s="65" t="s">
        <v>133</v>
      </c>
      <c r="J22" s="65" t="s">
        <v>123</v>
      </c>
      <c r="K22" s="65" t="s">
        <v>146</v>
      </c>
      <c r="L22" s="54" t="str">
        <f t="shared" ca="1" si="0"/>
        <v>La situazione non è da considerarsi affidabile per quanto concerne la corretta rappresentazione della situazione debitoria dell'impresa.</v>
      </c>
      <c r="M22" s="54" t="str">
        <f t="shared" ca="1" si="1"/>
        <v>Indicare le cause che impediscono un'affidabilità della situazione debitoria.</v>
      </c>
      <c r="N22" s="54"/>
    </row>
    <row r="23" spans="1:14" ht="35.1" customHeight="1" thickTop="1" thickBot="1" x14ac:dyDescent="0.3">
      <c r="A23" s="59"/>
      <c r="B23" s="60"/>
      <c r="C23" s="61"/>
      <c r="D23" s="59"/>
      <c r="E23" s="59" t="s">
        <v>118</v>
      </c>
      <c r="F23" s="51" t="b">
        <v>0</v>
      </c>
      <c r="G23" s="163"/>
      <c r="H23" s="65" t="s">
        <v>134</v>
      </c>
      <c r="I23" s="65" t="s">
        <v>135</v>
      </c>
      <c r="J23" s="65" t="s">
        <v>123</v>
      </c>
      <c r="K23" s="65" t="s">
        <v>110</v>
      </c>
      <c r="L23" s="54" t="str">
        <f t="shared" ca="1" si="0"/>
        <v>Il maggior contabile dei cespiti è superiore al valore di realizzo e a quello di mercato.</v>
      </c>
      <c r="M23" s="54" t="str">
        <f t="shared" ca="1" si="1"/>
        <v>L'impresa intende quanto meno appostare con prudenza adeguati fondi rischi e fondi per l’adeguamento delle attività e delle passività?</v>
      </c>
      <c r="N23" s="54"/>
    </row>
    <row r="24" spans="1:14" ht="35.1" customHeight="1" thickTop="1" thickBot="1" x14ac:dyDescent="0.3">
      <c r="A24" s="59"/>
      <c r="B24" s="60"/>
      <c r="C24" s="61" t="s">
        <v>10</v>
      </c>
      <c r="D24" s="59"/>
      <c r="E24" s="59" t="s">
        <v>139</v>
      </c>
      <c r="F24" s="51" t="b">
        <v>0</v>
      </c>
      <c r="G24" s="163"/>
      <c r="H24" s="65" t="s">
        <v>143</v>
      </c>
      <c r="I24" s="65" t="s">
        <v>460</v>
      </c>
      <c r="J24" s="65"/>
      <c r="K24" s="65"/>
      <c r="L24" s="54" t="str">
        <f t="shared" ca="1" si="0"/>
        <v>Non esiste in azienda un prospetto recante l’anzianità dei crediti commerciali</v>
      </c>
      <c r="M24" s="54">
        <f t="shared" ca="1" si="1"/>
        <v>0</v>
      </c>
      <c r="N24" s="54"/>
    </row>
    <row r="25" spans="1:14" ht="35.1" customHeight="1" thickTop="1" thickBot="1" x14ac:dyDescent="0.3">
      <c r="A25" s="59"/>
      <c r="B25" s="60"/>
      <c r="C25" s="61"/>
      <c r="D25" s="59"/>
      <c r="E25" s="59" t="s">
        <v>142</v>
      </c>
      <c r="F25" s="51" t="b">
        <v>0</v>
      </c>
      <c r="G25" s="163"/>
      <c r="H25" s="65" t="s">
        <v>144</v>
      </c>
      <c r="I25" s="65" t="s">
        <v>145</v>
      </c>
      <c r="J25" s="65" t="s">
        <v>123</v>
      </c>
      <c r="K25" s="65" t="s">
        <v>147</v>
      </c>
      <c r="L25" s="54" t="str">
        <f t="shared" ca="1" si="0"/>
        <v>, non sono state analizzate le cause del ritardo di incasso tale da consentire una valutazione oggettiva dei rischi di perdite sui crediti e una stima prudente dei tempi di incasso.</v>
      </c>
      <c r="M25" s="54" t="str">
        <f t="shared" ca="1" si="1"/>
        <v>Indicare eventuali interventi in termini di credit management</v>
      </c>
      <c r="N25" s="54"/>
    </row>
    <row r="26" spans="1:14" ht="35.1" customHeight="1" thickTop="1" thickBot="1" x14ac:dyDescent="0.3">
      <c r="A26" s="59"/>
      <c r="B26" s="60"/>
      <c r="C26" s="61"/>
      <c r="D26" s="59"/>
      <c r="E26" s="62" t="s">
        <v>137</v>
      </c>
      <c r="F26" s="51" t="b">
        <v>0</v>
      </c>
      <c r="G26" s="163"/>
      <c r="H26" s="65" t="s">
        <v>298</v>
      </c>
      <c r="I26" s="65" t="s">
        <v>299</v>
      </c>
      <c r="J26" s="65" t="s">
        <v>123</v>
      </c>
      <c r="K26" s="65" t="s">
        <v>147</v>
      </c>
      <c r="L26" s="54" t="str">
        <f t="shared" ca="1" si="0"/>
        <v>Non vi sono informazioni sufficienti per suddividere i crediti in base all'anzianità.</v>
      </c>
      <c r="M26" s="54" t="str">
        <f t="shared" ca="1" si="1"/>
        <v>Indicare eventuali interventi in termini di credit management</v>
      </c>
      <c r="N26" s="54"/>
    </row>
    <row r="27" spans="1:14" ht="35.1" customHeight="1" thickTop="1" thickBot="1" x14ac:dyDescent="0.3">
      <c r="A27" s="59"/>
      <c r="B27" s="60"/>
      <c r="C27" s="61"/>
      <c r="D27" s="59"/>
      <c r="E27" s="62" t="s">
        <v>138</v>
      </c>
      <c r="F27" s="51" t="b">
        <v>0</v>
      </c>
      <c r="G27" s="163"/>
      <c r="H27" s="65" t="s">
        <v>140</v>
      </c>
      <c r="I27" s="65" t="s">
        <v>148</v>
      </c>
      <c r="J27" s="65" t="s">
        <v>123</v>
      </c>
      <c r="K27" s="65" t="s">
        <v>149</v>
      </c>
      <c r="L27" s="54" t="str">
        <f t="shared" ca="1" si="0"/>
        <v>Per gli scaduti che superano la fisiologia (tempi ordinari di pagamento, pur oltre la scadenza contrattuale, che caratterizzano il settore), la stima del momento dell’incasso non è da considerarsi sufficientemente prudente.</v>
      </c>
      <c r="M27" s="54" t="str">
        <f t="shared" ca="1" si="1"/>
        <v>Quali elementi non sono valutati con la dovuta prudenza?</v>
      </c>
      <c r="N27" s="54"/>
    </row>
    <row r="28" spans="1:14" ht="35.1" customHeight="1" thickTop="1" thickBot="1" x14ac:dyDescent="0.3">
      <c r="A28" s="59"/>
      <c r="B28" s="60"/>
      <c r="C28" s="61" t="s">
        <v>11</v>
      </c>
      <c r="D28" s="59"/>
      <c r="E28" s="59" t="s">
        <v>74</v>
      </c>
      <c r="F28" s="51" t="b">
        <v>0</v>
      </c>
      <c r="G28" s="163"/>
      <c r="H28" s="65" t="s">
        <v>141</v>
      </c>
      <c r="I28" s="65" t="s">
        <v>150</v>
      </c>
      <c r="J28" s="65" t="s">
        <v>119</v>
      </c>
      <c r="K28" s="65" t="s">
        <v>151</v>
      </c>
      <c r="L28" s="54" t="str">
        <f t="shared" ca="1" si="0"/>
        <v>Non è stato redatto alcun prospetto recante le rimanenze di magazzino con i tempi di movimentazione che consenta di individuare le giacenze oggetto di lenta rotazione.</v>
      </c>
      <c r="M28" s="54" t="str">
        <f t="shared" ca="1" si="1"/>
        <v>Indicare le cause e gli interventi in merito</v>
      </c>
      <c r="N28" s="54"/>
    </row>
    <row r="29" spans="1:14" ht="35.1" customHeight="1" thickTop="1" thickBot="1" x14ac:dyDescent="0.3">
      <c r="A29" s="59"/>
      <c r="B29" s="60"/>
      <c r="C29" s="61" t="s">
        <v>12</v>
      </c>
      <c r="D29" s="59"/>
      <c r="E29" s="59" t="s">
        <v>153</v>
      </c>
      <c r="F29" s="51" t="b">
        <v>0</v>
      </c>
      <c r="G29" s="163"/>
      <c r="H29" s="65" t="s">
        <v>302</v>
      </c>
      <c r="I29" s="65" t="s">
        <v>303</v>
      </c>
      <c r="J29" s="65" t="s">
        <v>291</v>
      </c>
      <c r="K29" s="65" t="s">
        <v>151</v>
      </c>
      <c r="L29" s="54" t="str">
        <f t="shared" ca="1" si="0"/>
        <v>L'impresa non ha redatto un prospetto di riconciliazione tra la contabilità e quanto risultante dal certificato unico dei debiti tributari, dalla situazione debitoria complessiva dell’Agente della Riscossione.</v>
      </c>
      <c r="M29" s="54" t="str">
        <f t="shared" ca="1" si="1"/>
        <v>Indicare le cause e gli interventi in merito</v>
      </c>
      <c r="N29" s="54"/>
    </row>
    <row r="30" spans="1:14" ht="35.1" customHeight="1" thickTop="1" thickBot="1" x14ac:dyDescent="0.3">
      <c r="A30" s="59"/>
      <c r="B30" s="60"/>
      <c r="C30" s="61"/>
      <c r="D30" s="59"/>
      <c r="E30" s="59" t="s">
        <v>154</v>
      </c>
      <c r="F30" s="51" t="b">
        <v>0</v>
      </c>
      <c r="G30" s="163"/>
      <c r="H30" s="65" t="s">
        <v>305</v>
      </c>
      <c r="I30" s="65" t="s">
        <v>304</v>
      </c>
      <c r="J30" s="65" t="s">
        <v>158</v>
      </c>
      <c r="K30" s="65" t="s">
        <v>151</v>
      </c>
      <c r="L30" s="54" t="str">
        <f t="shared" ca="1" si="0"/>
        <v>Ha redatto un prospetto di riconciliazione tra la contabilità e quanto risultante dal certificato unico dei debiti contributivi e assicurativi</v>
      </c>
      <c r="M30" s="54" t="str">
        <f t="shared" ca="1" si="1"/>
        <v>Indicare le cause e gli interventi in merito</v>
      </c>
      <c r="N30" s="54"/>
    </row>
    <row r="31" spans="1:14" ht="35.1" customHeight="1" thickTop="1" thickBot="1" x14ac:dyDescent="0.3">
      <c r="A31" s="59"/>
      <c r="B31" s="60"/>
      <c r="C31" s="61"/>
      <c r="D31" s="59"/>
      <c r="E31" s="59" t="s">
        <v>152</v>
      </c>
      <c r="F31" s="51" t="b">
        <v>0</v>
      </c>
      <c r="G31" s="163"/>
      <c r="H31" s="65" t="s">
        <v>159</v>
      </c>
      <c r="I31" s="65" t="s">
        <v>160</v>
      </c>
      <c r="J31" s="65"/>
      <c r="K31" s="65"/>
      <c r="L31" s="54" t="str">
        <f t="shared" ca="1" si="0"/>
        <v>La Centrale rischi di Banca D'Italia non viene esaminata periodicamente e</v>
      </c>
      <c r="M31" s="54">
        <f t="shared" ca="1" si="1"/>
        <v>0</v>
      </c>
      <c r="N31" s="54"/>
    </row>
    <row r="32" spans="1:14" ht="35.1" customHeight="1" thickTop="1" thickBot="1" x14ac:dyDescent="0.3">
      <c r="A32" s="59"/>
      <c r="B32" s="60"/>
      <c r="C32" s="61"/>
      <c r="D32" s="59"/>
      <c r="E32" s="59" t="s">
        <v>155</v>
      </c>
      <c r="F32" s="51" t="b">
        <v>0</v>
      </c>
      <c r="G32" s="163"/>
      <c r="H32" s="65" t="s">
        <v>313</v>
      </c>
      <c r="I32" s="65" t="s">
        <v>314</v>
      </c>
      <c r="J32" s="65" t="s">
        <v>123</v>
      </c>
      <c r="K32" s="65" t="s">
        <v>151</v>
      </c>
      <c r="L32" s="54" t="str">
        <f t="shared" ca="1" si="0"/>
        <v>non riconciliata con la contabilità.</v>
      </c>
      <c r="M32" s="54" t="str">
        <f t="shared" ca="1" si="1"/>
        <v>Indicare le cause e gli interventi in merito</v>
      </c>
      <c r="N32" s="54"/>
    </row>
    <row r="33" spans="1:14" ht="35.1" customHeight="1" thickTop="1" thickBot="1" x14ac:dyDescent="0.3">
      <c r="A33" s="59"/>
      <c r="B33" s="60"/>
      <c r="C33" s="61" t="s">
        <v>13</v>
      </c>
      <c r="D33" s="59"/>
      <c r="E33" s="59" t="s">
        <v>156</v>
      </c>
      <c r="F33" s="51" t="b">
        <v>0</v>
      </c>
      <c r="G33" s="163"/>
      <c r="H33" s="65" t="s">
        <v>161</v>
      </c>
      <c r="I33" s="65" t="s">
        <v>162</v>
      </c>
      <c r="J33" s="65" t="s">
        <v>163</v>
      </c>
      <c r="K33" s="65" t="s">
        <v>163</v>
      </c>
      <c r="L33" s="54" t="str">
        <f t="shared" ca="1" si="0"/>
        <v>L’azienda non ha tenuto conto delle passività potenziali.</v>
      </c>
      <c r="M33" s="54" t="str">
        <f t="shared" ca="1" si="1"/>
        <v>Di che entità sono eventuali passività potenziali?</v>
      </c>
      <c r="N33" s="54"/>
    </row>
    <row r="34" spans="1:14" ht="35.1" customHeight="1" thickTop="1" thickBot="1" x14ac:dyDescent="0.3">
      <c r="A34" s="59"/>
      <c r="B34" s="60"/>
      <c r="C34" s="61"/>
      <c r="D34" s="59"/>
      <c r="E34" s="59" t="s">
        <v>164</v>
      </c>
      <c r="F34" s="51" t="b">
        <v>0</v>
      </c>
      <c r="G34" s="163"/>
      <c r="H34" s="65" t="s">
        <v>165</v>
      </c>
      <c r="I34" s="65" t="s">
        <v>166</v>
      </c>
      <c r="J34" s="65" t="s">
        <v>123</v>
      </c>
      <c r="K34" s="65" t="s">
        <v>167</v>
      </c>
      <c r="L34" s="54" t="str">
        <f t="shared" ca="1" si="0"/>
        <v>Esistono rilevanti rischi per garanzie concesse a terzi.</v>
      </c>
      <c r="M34" s="54" t="str">
        <f t="shared" ca="1" si="1"/>
        <v>Descrivere e precisare se ne è stato tenuto conto a livello di fondi rischi.</v>
      </c>
      <c r="N34" s="54"/>
    </row>
    <row r="35" spans="1:14" ht="35.1" customHeight="1" thickTop="1" thickBot="1" x14ac:dyDescent="0.3">
      <c r="A35" s="59"/>
      <c r="B35" s="60"/>
      <c r="C35" s="61" t="s">
        <v>14</v>
      </c>
      <c r="D35" s="59"/>
      <c r="E35" s="59" t="s">
        <v>120</v>
      </c>
      <c r="F35" s="51" t="b">
        <v>0</v>
      </c>
      <c r="G35" s="163"/>
      <c r="H35" s="65" t="s">
        <v>169</v>
      </c>
      <c r="I35" s="65" t="s">
        <v>168</v>
      </c>
      <c r="J35" s="65" t="s">
        <v>170</v>
      </c>
      <c r="K35" s="65" t="s">
        <v>171</v>
      </c>
      <c r="L35" s="54" t="str">
        <f t="shared" ca="1" si="0"/>
        <v>Non è stato nominato l'organo di controllo o il revisore legale.</v>
      </c>
      <c r="M35" s="54" t="str">
        <f t="shared" ca="1" si="1"/>
        <v>Chiarire le ragioni.</v>
      </c>
      <c r="N35" s="54"/>
    </row>
    <row r="36" spans="1:14" ht="35.1" customHeight="1" thickTop="1" thickBot="1" x14ac:dyDescent="0.3">
      <c r="A36" s="59"/>
      <c r="B36" s="60"/>
      <c r="C36" s="61" t="s">
        <v>15</v>
      </c>
      <c r="D36" s="59"/>
      <c r="E36" s="59" t="s">
        <v>407</v>
      </c>
      <c r="F36" s="51" t="b">
        <v>0</v>
      </c>
      <c r="G36" s="163"/>
      <c r="H36" s="65" t="s">
        <v>409</v>
      </c>
      <c r="I36" s="65" t="s">
        <v>410</v>
      </c>
      <c r="J36" s="65" t="s">
        <v>412</v>
      </c>
      <c r="K36" s="65" t="s">
        <v>123</v>
      </c>
      <c r="L36" s="54" t="str">
        <f t="shared" ca="1" si="0"/>
        <v>Non sono disponibili informazioni sull'andamento corrente in termini di ricavi, portafoglio ordini, costi e flussi finanziari.</v>
      </c>
      <c r="M36" s="54" t="str">
        <f t="shared" ca="1" si="1"/>
        <v>Aggiungere eventuali commenti</v>
      </c>
      <c r="N36" s="54"/>
    </row>
    <row r="37" spans="1:14" ht="35.1" customHeight="1" thickTop="1" thickBot="1" x14ac:dyDescent="0.3">
      <c r="A37" s="64"/>
      <c r="B37" s="60"/>
      <c r="C37" s="61"/>
      <c r="D37" s="59"/>
      <c r="E37" s="59" t="s">
        <v>408</v>
      </c>
      <c r="F37" s="51" t="b">
        <v>0</v>
      </c>
      <c r="G37" s="163"/>
      <c r="H37" s="65" t="s">
        <v>411</v>
      </c>
      <c r="I37" s="65" t="s">
        <v>411</v>
      </c>
      <c r="J37" s="65" t="s">
        <v>413</v>
      </c>
      <c r="K37" s="65" t="s">
        <v>123</v>
      </c>
      <c r="L37" s="54" t="str">
        <f t="shared" ca="1" si="0"/>
        <v>È disponibile un confronto con lo stesso periodo del precedente esercizio.</v>
      </c>
      <c r="M37" s="54" t="str">
        <f t="shared" ca="1" si="1"/>
        <v>Aggiungere eventuali commenti</v>
      </c>
      <c r="N37" s="53"/>
    </row>
    <row r="38" spans="1:14" ht="17.25" thickTop="1" x14ac:dyDescent="0.25">
      <c r="A38" s="42"/>
      <c r="B38" s="43"/>
      <c r="C38" s="42"/>
      <c r="D38" s="42"/>
      <c r="E38" s="42"/>
      <c r="F38" s="46"/>
      <c r="G38" s="162"/>
      <c r="H38" s="53"/>
      <c r="I38" s="53"/>
      <c r="J38" s="53"/>
      <c r="K38" s="53"/>
      <c r="L38" s="53"/>
      <c r="M38" s="53"/>
      <c r="N38" s="53"/>
    </row>
    <row r="39" spans="1:14" ht="16.5" x14ac:dyDescent="0.3">
      <c r="A39" s="39"/>
      <c r="B39" s="40"/>
      <c r="C39" s="39"/>
      <c r="D39" s="39"/>
      <c r="E39" s="39"/>
      <c r="F39" s="41"/>
      <c r="G39" s="168"/>
      <c r="H39" s="57"/>
      <c r="I39" s="57"/>
      <c r="J39" s="57"/>
      <c r="K39" s="57"/>
      <c r="L39" s="57"/>
      <c r="M39" s="57"/>
      <c r="N39" s="57"/>
    </row>
  </sheetData>
  <sheetProtection algorithmName="SHA-512" hashValue="cuPiRdkRhrXQjDsMnvbPCXpILmEEl2aFjJHc2eVNaKAvb+U+lC82h5aNT6po2jncqhZB7vmZLN1VBcMN1dBzVw==" saltValue="fdfgJz7KK3q6eOQq24GPIg==" spinCount="100000" sheet="1" objects="1" scenarios="1" selectLockedCells="1"/>
  <mergeCells count="2">
    <mergeCell ref="A3:B3"/>
    <mergeCell ref="C3:E3"/>
  </mergeCells>
  <conditionalFormatting sqref="C5">
    <cfRule type="cellIs" dxfId="184" priority="3" stopIfTrue="1" operator="lessThan">
      <formula>#REF!</formula>
    </cfRule>
  </conditionalFormatting>
  <conditionalFormatting sqref="C3:E3">
    <cfRule type="cellIs" dxfId="183" priority="4" stopIfTrue="1" operator="lessThan">
      <formula>#REF!</formula>
    </cfRule>
  </conditionalFormatting>
  <conditionalFormatting sqref="E5">
    <cfRule type="cellIs" dxfId="182" priority="2" stopIfTrue="1" operator="lessThan">
      <formula>#REF!</formula>
    </cfRule>
  </conditionalFormatting>
  <conditionalFormatting sqref="F1:G7 F9:G18">
    <cfRule type="cellIs" dxfId="181" priority="5" operator="equal">
      <formula>TRUE</formula>
    </cfRule>
  </conditionalFormatting>
  <conditionalFormatting sqref="F15:G18">
    <cfRule type="iconSet" priority="6">
      <iconSet iconSet="3Symbols2">
        <cfvo type="percent" val="0"/>
        <cfvo type="percent" val="33"/>
        <cfvo type="formula" val="#REF!"/>
      </iconSet>
    </cfRule>
  </conditionalFormatting>
  <conditionalFormatting sqref="F21:G37">
    <cfRule type="cellIs" dxfId="180" priority="1" operator="equal">
      <formula>TRUE</formula>
    </cfRule>
    <cfRule type="iconSet" priority="7">
      <iconSet iconSet="3Symbols2">
        <cfvo type="percent" val="0"/>
        <cfvo type="percent" val="33"/>
        <cfvo type="formula" val="#REF!"/>
      </iconSet>
    </cfRule>
  </conditionalFormatting>
  <pageMargins left="0.7" right="0.7" top="0.75" bottom="0.75" header="0.3" footer="0.3"/>
  <pageSetup paperSize="9"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3340" r:id="rId4" name="Check Box 28">
              <controlPr defaultSize="0" autoFill="0" autoLine="0" autoPict="0">
                <anchor moveWithCells="1">
                  <from>
                    <xdr:col>5</xdr:col>
                    <xdr:colOff>19050</xdr:colOff>
                    <xdr:row>8</xdr:row>
                    <xdr:rowOff>85725</xdr:rowOff>
                  </from>
                  <to>
                    <xdr:col>5</xdr:col>
                    <xdr:colOff>266700</xdr:colOff>
                    <xdr:row>8</xdr:row>
                    <xdr:rowOff>323850</xdr:rowOff>
                  </to>
                </anchor>
              </controlPr>
            </control>
          </mc:Choice>
        </mc:AlternateContent>
        <mc:AlternateContent xmlns:mc="http://schemas.openxmlformats.org/markup-compatibility/2006">
          <mc:Choice Requires="x14">
            <control shapeId="13341" r:id="rId5" name="Check Box 29">
              <controlPr defaultSize="0" autoFill="0" autoLine="0" autoPict="0">
                <anchor moveWithCells="1">
                  <from>
                    <xdr:col>5</xdr:col>
                    <xdr:colOff>19050</xdr:colOff>
                    <xdr:row>9</xdr:row>
                    <xdr:rowOff>85725</xdr:rowOff>
                  </from>
                  <to>
                    <xdr:col>5</xdr:col>
                    <xdr:colOff>266700</xdr:colOff>
                    <xdr:row>9</xdr:row>
                    <xdr:rowOff>323850</xdr:rowOff>
                  </to>
                </anchor>
              </controlPr>
            </control>
          </mc:Choice>
        </mc:AlternateContent>
        <mc:AlternateContent xmlns:mc="http://schemas.openxmlformats.org/markup-compatibility/2006">
          <mc:Choice Requires="x14">
            <control shapeId="13342" r:id="rId6" name="Check Box 30">
              <controlPr defaultSize="0" autoFill="0" autoLine="0" autoPict="0">
                <anchor moveWithCells="1">
                  <from>
                    <xdr:col>5</xdr:col>
                    <xdr:colOff>19050</xdr:colOff>
                    <xdr:row>10</xdr:row>
                    <xdr:rowOff>85725</xdr:rowOff>
                  </from>
                  <to>
                    <xdr:col>5</xdr:col>
                    <xdr:colOff>266700</xdr:colOff>
                    <xdr:row>10</xdr:row>
                    <xdr:rowOff>323850</xdr:rowOff>
                  </to>
                </anchor>
              </controlPr>
            </control>
          </mc:Choice>
        </mc:AlternateContent>
        <mc:AlternateContent xmlns:mc="http://schemas.openxmlformats.org/markup-compatibility/2006">
          <mc:Choice Requires="x14">
            <control shapeId="13343" r:id="rId7" name="Check Box 31">
              <controlPr defaultSize="0" autoFill="0" autoLine="0" autoPict="0">
                <anchor moveWithCells="1">
                  <from>
                    <xdr:col>5</xdr:col>
                    <xdr:colOff>19050</xdr:colOff>
                    <xdr:row>11</xdr:row>
                    <xdr:rowOff>85725</xdr:rowOff>
                  </from>
                  <to>
                    <xdr:col>5</xdr:col>
                    <xdr:colOff>266700</xdr:colOff>
                    <xdr:row>11</xdr:row>
                    <xdr:rowOff>323850</xdr:rowOff>
                  </to>
                </anchor>
              </controlPr>
            </control>
          </mc:Choice>
        </mc:AlternateContent>
        <mc:AlternateContent xmlns:mc="http://schemas.openxmlformats.org/markup-compatibility/2006">
          <mc:Choice Requires="x14">
            <control shapeId="13344" r:id="rId8" name="Check Box 32">
              <controlPr defaultSize="0" autoFill="0" autoLine="0" autoPict="0">
                <anchor moveWithCells="1">
                  <from>
                    <xdr:col>5</xdr:col>
                    <xdr:colOff>19050</xdr:colOff>
                    <xdr:row>12</xdr:row>
                    <xdr:rowOff>85725</xdr:rowOff>
                  </from>
                  <to>
                    <xdr:col>5</xdr:col>
                    <xdr:colOff>266700</xdr:colOff>
                    <xdr:row>12</xdr:row>
                    <xdr:rowOff>323850</xdr:rowOff>
                  </to>
                </anchor>
              </controlPr>
            </control>
          </mc:Choice>
        </mc:AlternateContent>
        <mc:AlternateContent xmlns:mc="http://schemas.openxmlformats.org/markup-compatibility/2006">
          <mc:Choice Requires="x14">
            <control shapeId="13345" r:id="rId9" name="Check Box 33">
              <controlPr defaultSize="0" autoFill="0" autoLine="0" autoPict="0">
                <anchor moveWithCells="1">
                  <from>
                    <xdr:col>5</xdr:col>
                    <xdr:colOff>19050</xdr:colOff>
                    <xdr:row>13</xdr:row>
                    <xdr:rowOff>85725</xdr:rowOff>
                  </from>
                  <to>
                    <xdr:col>5</xdr:col>
                    <xdr:colOff>266700</xdr:colOff>
                    <xdr:row>13</xdr:row>
                    <xdr:rowOff>323850</xdr:rowOff>
                  </to>
                </anchor>
              </controlPr>
            </control>
          </mc:Choice>
        </mc:AlternateContent>
        <mc:AlternateContent xmlns:mc="http://schemas.openxmlformats.org/markup-compatibility/2006">
          <mc:Choice Requires="x14">
            <control shapeId="13346" r:id="rId10" name="Check Box 34">
              <controlPr defaultSize="0" autoFill="0" autoLine="0" autoPict="0">
                <anchor moveWithCells="1">
                  <from>
                    <xdr:col>5</xdr:col>
                    <xdr:colOff>19050</xdr:colOff>
                    <xdr:row>14</xdr:row>
                    <xdr:rowOff>85725</xdr:rowOff>
                  </from>
                  <to>
                    <xdr:col>5</xdr:col>
                    <xdr:colOff>266700</xdr:colOff>
                    <xdr:row>14</xdr:row>
                    <xdr:rowOff>323850</xdr:rowOff>
                  </to>
                </anchor>
              </controlPr>
            </control>
          </mc:Choice>
        </mc:AlternateContent>
        <mc:AlternateContent xmlns:mc="http://schemas.openxmlformats.org/markup-compatibility/2006">
          <mc:Choice Requires="x14">
            <control shapeId="13347" r:id="rId11" name="Check Box 35">
              <controlPr defaultSize="0" autoFill="0" autoLine="0" autoPict="0">
                <anchor moveWithCells="1">
                  <from>
                    <xdr:col>5</xdr:col>
                    <xdr:colOff>19050</xdr:colOff>
                    <xdr:row>15</xdr:row>
                    <xdr:rowOff>85725</xdr:rowOff>
                  </from>
                  <to>
                    <xdr:col>5</xdr:col>
                    <xdr:colOff>266700</xdr:colOff>
                    <xdr:row>15</xdr:row>
                    <xdr:rowOff>323850</xdr:rowOff>
                  </to>
                </anchor>
              </controlPr>
            </control>
          </mc:Choice>
        </mc:AlternateContent>
        <mc:AlternateContent xmlns:mc="http://schemas.openxmlformats.org/markup-compatibility/2006">
          <mc:Choice Requires="x14">
            <control shapeId="13348" r:id="rId12" name="Check Box 36">
              <controlPr defaultSize="0" autoFill="0" autoLine="0" autoPict="0">
                <anchor moveWithCells="1">
                  <from>
                    <xdr:col>5</xdr:col>
                    <xdr:colOff>19050</xdr:colOff>
                    <xdr:row>16</xdr:row>
                    <xdr:rowOff>85725</xdr:rowOff>
                  </from>
                  <to>
                    <xdr:col>5</xdr:col>
                    <xdr:colOff>266700</xdr:colOff>
                    <xdr:row>16</xdr:row>
                    <xdr:rowOff>323850</xdr:rowOff>
                  </to>
                </anchor>
              </controlPr>
            </control>
          </mc:Choice>
        </mc:AlternateContent>
        <mc:AlternateContent xmlns:mc="http://schemas.openxmlformats.org/markup-compatibility/2006">
          <mc:Choice Requires="x14">
            <control shapeId="13349" r:id="rId13" name="Check Box 37">
              <controlPr defaultSize="0" autoFill="0" autoLine="0" autoPict="0">
                <anchor moveWithCells="1">
                  <from>
                    <xdr:col>5</xdr:col>
                    <xdr:colOff>19050</xdr:colOff>
                    <xdr:row>17</xdr:row>
                    <xdr:rowOff>85725</xdr:rowOff>
                  </from>
                  <to>
                    <xdr:col>5</xdr:col>
                    <xdr:colOff>266700</xdr:colOff>
                    <xdr:row>17</xdr:row>
                    <xdr:rowOff>323850</xdr:rowOff>
                  </to>
                </anchor>
              </controlPr>
            </control>
          </mc:Choice>
        </mc:AlternateContent>
        <mc:AlternateContent xmlns:mc="http://schemas.openxmlformats.org/markup-compatibility/2006">
          <mc:Choice Requires="x14">
            <control shapeId="13350" r:id="rId14" name="Check Box 38">
              <controlPr defaultSize="0" autoFill="0" autoLine="0" autoPict="0">
                <anchor moveWithCells="1">
                  <from>
                    <xdr:col>5</xdr:col>
                    <xdr:colOff>19050</xdr:colOff>
                    <xdr:row>20</xdr:row>
                    <xdr:rowOff>85725</xdr:rowOff>
                  </from>
                  <to>
                    <xdr:col>5</xdr:col>
                    <xdr:colOff>266700</xdr:colOff>
                    <xdr:row>20</xdr:row>
                    <xdr:rowOff>323850</xdr:rowOff>
                  </to>
                </anchor>
              </controlPr>
            </control>
          </mc:Choice>
        </mc:AlternateContent>
        <mc:AlternateContent xmlns:mc="http://schemas.openxmlformats.org/markup-compatibility/2006">
          <mc:Choice Requires="x14">
            <control shapeId="13351" r:id="rId15" name="Check Box 39">
              <controlPr defaultSize="0" autoFill="0" autoLine="0" autoPict="0">
                <anchor moveWithCells="1">
                  <from>
                    <xdr:col>5</xdr:col>
                    <xdr:colOff>19050</xdr:colOff>
                    <xdr:row>21</xdr:row>
                    <xdr:rowOff>85725</xdr:rowOff>
                  </from>
                  <to>
                    <xdr:col>5</xdr:col>
                    <xdr:colOff>266700</xdr:colOff>
                    <xdr:row>21</xdr:row>
                    <xdr:rowOff>323850</xdr:rowOff>
                  </to>
                </anchor>
              </controlPr>
            </control>
          </mc:Choice>
        </mc:AlternateContent>
        <mc:AlternateContent xmlns:mc="http://schemas.openxmlformats.org/markup-compatibility/2006">
          <mc:Choice Requires="x14">
            <control shapeId="13352" r:id="rId16" name="Check Box 40">
              <controlPr defaultSize="0" autoFill="0" autoLine="0" autoPict="0">
                <anchor moveWithCells="1">
                  <from>
                    <xdr:col>5</xdr:col>
                    <xdr:colOff>19050</xdr:colOff>
                    <xdr:row>22</xdr:row>
                    <xdr:rowOff>85725</xdr:rowOff>
                  </from>
                  <to>
                    <xdr:col>5</xdr:col>
                    <xdr:colOff>266700</xdr:colOff>
                    <xdr:row>22</xdr:row>
                    <xdr:rowOff>323850</xdr:rowOff>
                  </to>
                </anchor>
              </controlPr>
            </control>
          </mc:Choice>
        </mc:AlternateContent>
        <mc:AlternateContent xmlns:mc="http://schemas.openxmlformats.org/markup-compatibility/2006">
          <mc:Choice Requires="x14">
            <control shapeId="13353" r:id="rId17" name="Check Box 41">
              <controlPr defaultSize="0" autoFill="0" autoLine="0" autoPict="0">
                <anchor moveWithCells="1">
                  <from>
                    <xdr:col>5</xdr:col>
                    <xdr:colOff>19050</xdr:colOff>
                    <xdr:row>23</xdr:row>
                    <xdr:rowOff>85725</xdr:rowOff>
                  </from>
                  <to>
                    <xdr:col>5</xdr:col>
                    <xdr:colOff>266700</xdr:colOff>
                    <xdr:row>23</xdr:row>
                    <xdr:rowOff>323850</xdr:rowOff>
                  </to>
                </anchor>
              </controlPr>
            </control>
          </mc:Choice>
        </mc:AlternateContent>
        <mc:AlternateContent xmlns:mc="http://schemas.openxmlformats.org/markup-compatibility/2006">
          <mc:Choice Requires="x14">
            <control shapeId="13354" r:id="rId18" name="Check Box 42">
              <controlPr defaultSize="0" autoFill="0" autoLine="0" autoPict="0">
                <anchor moveWithCells="1">
                  <from>
                    <xdr:col>5</xdr:col>
                    <xdr:colOff>19050</xdr:colOff>
                    <xdr:row>24</xdr:row>
                    <xdr:rowOff>85725</xdr:rowOff>
                  </from>
                  <to>
                    <xdr:col>5</xdr:col>
                    <xdr:colOff>266700</xdr:colOff>
                    <xdr:row>24</xdr:row>
                    <xdr:rowOff>323850</xdr:rowOff>
                  </to>
                </anchor>
              </controlPr>
            </control>
          </mc:Choice>
        </mc:AlternateContent>
        <mc:AlternateContent xmlns:mc="http://schemas.openxmlformats.org/markup-compatibility/2006">
          <mc:Choice Requires="x14">
            <control shapeId="13355" r:id="rId19" name="Check Box 43">
              <controlPr defaultSize="0" autoFill="0" autoLine="0" autoPict="0">
                <anchor moveWithCells="1">
                  <from>
                    <xdr:col>5</xdr:col>
                    <xdr:colOff>19050</xdr:colOff>
                    <xdr:row>25</xdr:row>
                    <xdr:rowOff>85725</xdr:rowOff>
                  </from>
                  <to>
                    <xdr:col>5</xdr:col>
                    <xdr:colOff>266700</xdr:colOff>
                    <xdr:row>25</xdr:row>
                    <xdr:rowOff>323850</xdr:rowOff>
                  </to>
                </anchor>
              </controlPr>
            </control>
          </mc:Choice>
        </mc:AlternateContent>
        <mc:AlternateContent xmlns:mc="http://schemas.openxmlformats.org/markup-compatibility/2006">
          <mc:Choice Requires="x14">
            <control shapeId="13356" r:id="rId20" name="Check Box 44">
              <controlPr defaultSize="0" autoFill="0" autoLine="0" autoPict="0">
                <anchor moveWithCells="1">
                  <from>
                    <xdr:col>5</xdr:col>
                    <xdr:colOff>19050</xdr:colOff>
                    <xdr:row>26</xdr:row>
                    <xdr:rowOff>85725</xdr:rowOff>
                  </from>
                  <to>
                    <xdr:col>5</xdr:col>
                    <xdr:colOff>266700</xdr:colOff>
                    <xdr:row>26</xdr:row>
                    <xdr:rowOff>323850</xdr:rowOff>
                  </to>
                </anchor>
              </controlPr>
            </control>
          </mc:Choice>
        </mc:AlternateContent>
        <mc:AlternateContent xmlns:mc="http://schemas.openxmlformats.org/markup-compatibility/2006">
          <mc:Choice Requires="x14">
            <control shapeId="13357" r:id="rId21" name="Check Box 45">
              <controlPr defaultSize="0" autoFill="0" autoLine="0" autoPict="0">
                <anchor moveWithCells="1">
                  <from>
                    <xdr:col>5</xdr:col>
                    <xdr:colOff>19050</xdr:colOff>
                    <xdr:row>27</xdr:row>
                    <xdr:rowOff>85725</xdr:rowOff>
                  </from>
                  <to>
                    <xdr:col>5</xdr:col>
                    <xdr:colOff>266700</xdr:colOff>
                    <xdr:row>27</xdr:row>
                    <xdr:rowOff>323850</xdr:rowOff>
                  </to>
                </anchor>
              </controlPr>
            </control>
          </mc:Choice>
        </mc:AlternateContent>
        <mc:AlternateContent xmlns:mc="http://schemas.openxmlformats.org/markup-compatibility/2006">
          <mc:Choice Requires="x14">
            <control shapeId="13358" r:id="rId22" name="Check Box 46">
              <controlPr defaultSize="0" autoFill="0" autoLine="0" autoPict="0">
                <anchor moveWithCells="1">
                  <from>
                    <xdr:col>5</xdr:col>
                    <xdr:colOff>19050</xdr:colOff>
                    <xdr:row>28</xdr:row>
                    <xdr:rowOff>85725</xdr:rowOff>
                  </from>
                  <to>
                    <xdr:col>5</xdr:col>
                    <xdr:colOff>266700</xdr:colOff>
                    <xdr:row>28</xdr:row>
                    <xdr:rowOff>323850</xdr:rowOff>
                  </to>
                </anchor>
              </controlPr>
            </control>
          </mc:Choice>
        </mc:AlternateContent>
        <mc:AlternateContent xmlns:mc="http://schemas.openxmlformats.org/markup-compatibility/2006">
          <mc:Choice Requires="x14">
            <control shapeId="13359" r:id="rId23" name="Check Box 47">
              <controlPr defaultSize="0" autoFill="0" autoLine="0" autoPict="0">
                <anchor moveWithCells="1">
                  <from>
                    <xdr:col>5</xdr:col>
                    <xdr:colOff>19050</xdr:colOff>
                    <xdr:row>29</xdr:row>
                    <xdr:rowOff>85725</xdr:rowOff>
                  </from>
                  <to>
                    <xdr:col>5</xdr:col>
                    <xdr:colOff>266700</xdr:colOff>
                    <xdr:row>29</xdr:row>
                    <xdr:rowOff>323850</xdr:rowOff>
                  </to>
                </anchor>
              </controlPr>
            </control>
          </mc:Choice>
        </mc:AlternateContent>
        <mc:AlternateContent xmlns:mc="http://schemas.openxmlformats.org/markup-compatibility/2006">
          <mc:Choice Requires="x14">
            <control shapeId="13360" r:id="rId24" name="Check Box 48">
              <controlPr defaultSize="0" autoFill="0" autoLine="0" autoPict="0">
                <anchor moveWithCells="1">
                  <from>
                    <xdr:col>5</xdr:col>
                    <xdr:colOff>19050</xdr:colOff>
                    <xdr:row>30</xdr:row>
                    <xdr:rowOff>85725</xdr:rowOff>
                  </from>
                  <to>
                    <xdr:col>5</xdr:col>
                    <xdr:colOff>266700</xdr:colOff>
                    <xdr:row>30</xdr:row>
                    <xdr:rowOff>323850</xdr:rowOff>
                  </to>
                </anchor>
              </controlPr>
            </control>
          </mc:Choice>
        </mc:AlternateContent>
        <mc:AlternateContent xmlns:mc="http://schemas.openxmlformats.org/markup-compatibility/2006">
          <mc:Choice Requires="x14">
            <control shapeId="13361" r:id="rId25" name="Check Box 49">
              <controlPr defaultSize="0" autoFill="0" autoLine="0" autoPict="0">
                <anchor moveWithCells="1">
                  <from>
                    <xdr:col>5</xdr:col>
                    <xdr:colOff>19050</xdr:colOff>
                    <xdr:row>31</xdr:row>
                    <xdr:rowOff>85725</xdr:rowOff>
                  </from>
                  <to>
                    <xdr:col>5</xdr:col>
                    <xdr:colOff>266700</xdr:colOff>
                    <xdr:row>31</xdr:row>
                    <xdr:rowOff>323850</xdr:rowOff>
                  </to>
                </anchor>
              </controlPr>
            </control>
          </mc:Choice>
        </mc:AlternateContent>
        <mc:AlternateContent xmlns:mc="http://schemas.openxmlformats.org/markup-compatibility/2006">
          <mc:Choice Requires="x14">
            <control shapeId="13362" r:id="rId26" name="Check Box 50">
              <controlPr defaultSize="0" autoFill="0" autoLine="0" autoPict="0">
                <anchor moveWithCells="1">
                  <from>
                    <xdr:col>5</xdr:col>
                    <xdr:colOff>19050</xdr:colOff>
                    <xdr:row>32</xdr:row>
                    <xdr:rowOff>85725</xdr:rowOff>
                  </from>
                  <to>
                    <xdr:col>5</xdr:col>
                    <xdr:colOff>266700</xdr:colOff>
                    <xdr:row>32</xdr:row>
                    <xdr:rowOff>323850</xdr:rowOff>
                  </to>
                </anchor>
              </controlPr>
            </control>
          </mc:Choice>
        </mc:AlternateContent>
        <mc:AlternateContent xmlns:mc="http://schemas.openxmlformats.org/markup-compatibility/2006">
          <mc:Choice Requires="x14">
            <control shapeId="13363" r:id="rId27" name="Check Box 51">
              <controlPr defaultSize="0" autoFill="0" autoLine="0" autoPict="0">
                <anchor moveWithCells="1">
                  <from>
                    <xdr:col>5</xdr:col>
                    <xdr:colOff>19050</xdr:colOff>
                    <xdr:row>33</xdr:row>
                    <xdr:rowOff>85725</xdr:rowOff>
                  </from>
                  <to>
                    <xdr:col>5</xdr:col>
                    <xdr:colOff>266700</xdr:colOff>
                    <xdr:row>33</xdr:row>
                    <xdr:rowOff>323850</xdr:rowOff>
                  </to>
                </anchor>
              </controlPr>
            </control>
          </mc:Choice>
        </mc:AlternateContent>
        <mc:AlternateContent xmlns:mc="http://schemas.openxmlformats.org/markup-compatibility/2006">
          <mc:Choice Requires="x14">
            <control shapeId="13364" r:id="rId28" name="Check Box 52">
              <controlPr defaultSize="0" autoFill="0" autoLine="0" autoPict="0">
                <anchor moveWithCells="1">
                  <from>
                    <xdr:col>5</xdr:col>
                    <xdr:colOff>19050</xdr:colOff>
                    <xdr:row>34</xdr:row>
                    <xdr:rowOff>85725</xdr:rowOff>
                  </from>
                  <to>
                    <xdr:col>5</xdr:col>
                    <xdr:colOff>266700</xdr:colOff>
                    <xdr:row>34</xdr:row>
                    <xdr:rowOff>323850</xdr:rowOff>
                  </to>
                </anchor>
              </controlPr>
            </control>
          </mc:Choice>
        </mc:AlternateContent>
        <mc:AlternateContent xmlns:mc="http://schemas.openxmlformats.org/markup-compatibility/2006">
          <mc:Choice Requires="x14">
            <control shapeId="13365" r:id="rId29" name="Check Box 53">
              <controlPr defaultSize="0" autoFill="0" autoLine="0" autoPict="0">
                <anchor moveWithCells="1">
                  <from>
                    <xdr:col>5</xdr:col>
                    <xdr:colOff>19050</xdr:colOff>
                    <xdr:row>35</xdr:row>
                    <xdr:rowOff>85725</xdr:rowOff>
                  </from>
                  <to>
                    <xdr:col>5</xdr:col>
                    <xdr:colOff>266700</xdr:colOff>
                    <xdr:row>35</xdr:row>
                    <xdr:rowOff>323850</xdr:rowOff>
                  </to>
                </anchor>
              </controlPr>
            </control>
          </mc:Choice>
        </mc:AlternateContent>
        <mc:AlternateContent xmlns:mc="http://schemas.openxmlformats.org/markup-compatibility/2006">
          <mc:Choice Requires="x14">
            <control shapeId="13366" r:id="rId30" name="Check Box 54">
              <controlPr defaultSize="0" autoFill="0" autoLine="0" autoPict="0">
                <anchor moveWithCells="1">
                  <from>
                    <xdr:col>5</xdr:col>
                    <xdr:colOff>19050</xdr:colOff>
                    <xdr:row>36</xdr:row>
                    <xdr:rowOff>85725</xdr:rowOff>
                  </from>
                  <to>
                    <xdr:col>5</xdr:col>
                    <xdr:colOff>266700</xdr:colOff>
                    <xdr:row>36</xdr:row>
                    <xdr:rowOff>323850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2607D-6AE4-4A2A-B137-F3F5355F82B4}">
  <sheetPr codeName="Foglio3"/>
  <dimension ref="A1:P159"/>
  <sheetViews>
    <sheetView showGridLines="0" zoomScale="85" zoomScaleNormal="85" workbookViewId="0">
      <selection activeCell="F1" sqref="F1"/>
    </sheetView>
  </sheetViews>
  <sheetFormatPr defaultColWidth="0" defaultRowHeight="21.75" customHeight="1" zeroHeight="1" outlineLevelRow="1" outlineLevelCol="1" x14ac:dyDescent="0.25"/>
  <cols>
    <col min="1" max="2" width="7.7109375" customWidth="1"/>
    <col min="3" max="4" width="10.7109375" customWidth="1"/>
    <col min="5" max="5" width="110.7109375" style="24" customWidth="1"/>
    <col min="6" max="6" width="4.28515625" style="29" customWidth="1"/>
    <col min="7" max="7" width="13.140625" customWidth="1"/>
    <col min="8" max="9" width="35.7109375" style="28" hidden="1" customWidth="1" outlineLevel="1"/>
    <col min="10" max="11" width="25.7109375" style="28" hidden="1" customWidth="1" outlineLevel="1"/>
    <col min="12" max="13" width="25.7109375" style="13" hidden="1" customWidth="1" outlineLevel="1"/>
    <col min="14" max="14" width="19.28515625" style="13" hidden="1" customWidth="1" outlineLevel="1"/>
    <col min="15" max="15" width="9.140625" style="13" hidden="1" customWidth="1" outlineLevel="1"/>
    <col min="16" max="16" width="9.140625" style="13" customWidth="1" collapsed="1"/>
    <col min="17" max="16384" width="9.140625" style="13" hidden="1"/>
  </cols>
  <sheetData>
    <row r="1" spans="1:14" s="4" customFormat="1" ht="90" customHeight="1" thickBot="1" x14ac:dyDescent="0.3">
      <c r="A1" s="105"/>
      <c r="B1" s="106"/>
      <c r="C1" s="107"/>
      <c r="D1" s="105"/>
      <c r="E1" s="105"/>
      <c r="F1" s="108"/>
      <c r="G1" s="109"/>
      <c r="H1" s="110"/>
      <c r="I1" s="110"/>
      <c r="J1" s="110"/>
      <c r="K1" s="110"/>
      <c r="L1" s="105"/>
      <c r="M1" s="105"/>
    </row>
    <row r="2" spans="1:14" s="10" customFormat="1" ht="72.75" customHeight="1" thickTop="1" x14ac:dyDescent="0.25">
      <c r="A2" s="50"/>
      <c r="B2" s="50"/>
      <c r="C2" s="50"/>
      <c r="D2" s="50"/>
      <c r="E2" s="111"/>
      <c r="F2" s="66"/>
      <c r="G2" s="50"/>
      <c r="H2" s="93"/>
      <c r="I2" s="93"/>
      <c r="J2" s="93"/>
      <c r="K2" s="93"/>
      <c r="L2" s="94"/>
      <c r="M2" s="94"/>
    </row>
    <row r="3" spans="1:14" s="9" customFormat="1" ht="39.950000000000003" customHeight="1" x14ac:dyDescent="0.25">
      <c r="A3" s="150" t="s">
        <v>16</v>
      </c>
      <c r="B3" s="148"/>
      <c r="C3" s="148"/>
      <c r="D3" s="148" t="s">
        <v>157</v>
      </c>
      <c r="E3" s="148"/>
      <c r="F3" s="148"/>
      <c r="G3" s="148"/>
      <c r="H3" s="159" t="s">
        <v>111</v>
      </c>
      <c r="I3" s="159" t="s">
        <v>112</v>
      </c>
      <c r="J3" s="159" t="s">
        <v>121</v>
      </c>
      <c r="K3" s="159" t="s">
        <v>113</v>
      </c>
      <c r="L3" s="159" t="s">
        <v>174</v>
      </c>
      <c r="M3" s="159" t="s">
        <v>106</v>
      </c>
    </row>
    <row r="4" spans="1:14" s="10" customFormat="1" ht="35.1" customHeight="1" thickBot="1" x14ac:dyDescent="0.3">
      <c r="A4" s="68"/>
      <c r="B4" s="61" t="s">
        <v>75</v>
      </c>
      <c r="C4" s="68"/>
      <c r="D4" s="59"/>
      <c r="E4" s="59" t="s">
        <v>172</v>
      </c>
      <c r="F4" s="69" t="b">
        <v>0</v>
      </c>
      <c r="G4" s="91"/>
      <c r="H4" s="65" t="s">
        <v>315</v>
      </c>
      <c r="I4" s="65" t="s">
        <v>316</v>
      </c>
      <c r="J4" s="65" t="s">
        <v>173</v>
      </c>
      <c r="K4" s="65" t="s">
        <v>432</v>
      </c>
      <c r="L4" s="65" t="str">
        <f ca="1">+OFFSET(F4,0,IF(F4,2,3))</f>
        <v>Esistono alcune evidenze tali da far presagire uno stato di crisi e o uno squilibrio economico patrimoniale.</v>
      </c>
      <c r="M4" s="65" t="str">
        <f ca="1">+OFFSET(F4,0,IF(F4,4,5))</f>
        <v>Specificare</v>
      </c>
    </row>
    <row r="5" spans="1:14" s="10" customFormat="1" ht="35.1" customHeight="1" thickTop="1" x14ac:dyDescent="0.25">
      <c r="A5" s="68"/>
      <c r="B5" s="61" t="s">
        <v>76</v>
      </c>
      <c r="C5" s="68"/>
      <c r="D5" s="59"/>
      <c r="E5" s="70" t="s">
        <v>77</v>
      </c>
      <c r="F5" s="71"/>
      <c r="G5" s="50"/>
      <c r="H5" s="93"/>
      <c r="I5" s="93"/>
      <c r="J5" s="93"/>
      <c r="K5" s="93"/>
      <c r="L5" s="94"/>
      <c r="M5" s="94"/>
    </row>
    <row r="6" spans="1:14" s="10" customFormat="1" ht="35.1" customHeight="1" thickBot="1" x14ac:dyDescent="0.3">
      <c r="A6" s="68"/>
      <c r="B6" s="59"/>
      <c r="C6" s="61"/>
      <c r="D6" s="59"/>
      <c r="E6" s="72" t="s">
        <v>189</v>
      </c>
      <c r="F6" s="73" t="b">
        <f>+COUNTIF(F7:F9,TRUE)&gt;0</f>
        <v>0</v>
      </c>
      <c r="G6" s="95"/>
      <c r="H6" s="94"/>
      <c r="I6" s="176" t="str" cm="1">
        <f t="array" ref="I6">IF(F6,
+CONCATENATE("Per quanto concerne lo stato di crisi, ",E6,
IF(F7,E7&amp;N7,""),
IF(F8,E8&amp;N8,""),
IF(F9,E9&amp;N9,""),".")&amp;
IF(F11,CONCATENATE(AC,E11,
IF(F12,E12&amp;N12,""),
IF(F13,E13&amp;N13,""),
IF(F14,E14&amp;N14,""),
IF(F15,E15&amp;N15,""),
IF(F16,E16&amp;N16,""),
IF(F17,E17&amp;N17,""),
IF(F18,E18&amp;N18,""),
IF(F19,E19&amp;N19,""),
IF(F20,E20&amp;N20,""),
IF(F21,E21&amp;N21,""))&amp;pu&amp;AC&amp;E10,""),"")</f>
        <v/>
      </c>
      <c r="J6" s="176"/>
      <c r="K6" s="176"/>
      <c r="L6" s="94"/>
      <c r="M6" s="94"/>
      <c r="N6" s="30"/>
    </row>
    <row r="7" spans="1:14" s="10" customFormat="1" ht="35.1" customHeight="1" thickTop="1" thickBot="1" x14ac:dyDescent="0.3">
      <c r="A7" s="68"/>
      <c r="B7" s="59"/>
      <c r="C7" s="61"/>
      <c r="D7" s="59"/>
      <c r="E7" s="74" t="s">
        <v>185</v>
      </c>
      <c r="F7" s="73" t="b">
        <v>0</v>
      </c>
      <c r="G7" s="95"/>
      <c r="H7" s="94"/>
      <c r="I7" s="176"/>
      <c r="J7" s="176"/>
      <c r="K7" s="176"/>
      <c r="L7" s="94"/>
      <c r="M7" s="94"/>
      <c r="N7" s="30" t="str">
        <f>+IF(
COUNTIF(F8:$F$9,TRUE)=1," e ",
IF(
COUNTIF(F8:$F$9,TRUE)&gt;1,", ",""))</f>
        <v/>
      </c>
    </row>
    <row r="8" spans="1:14" s="10" customFormat="1" ht="35.1" customHeight="1" thickTop="1" thickBot="1" x14ac:dyDescent="0.3">
      <c r="A8" s="68"/>
      <c r="B8" s="59"/>
      <c r="C8" s="61"/>
      <c r="D8" s="59"/>
      <c r="E8" s="74" t="s">
        <v>186</v>
      </c>
      <c r="F8" s="73" t="b">
        <v>0</v>
      </c>
      <c r="G8" s="95"/>
      <c r="H8" s="94"/>
      <c r="I8" s="176"/>
      <c r="J8" s="176"/>
      <c r="K8" s="176"/>
      <c r="L8" s="94"/>
      <c r="M8" s="94"/>
      <c r="N8" s="30" t="str">
        <f>+IF(
COUNTIF(F9:$F$9,TRUE)=1," e ",
IF(
COUNTIF(F9:$F$9,TRUE)&gt;1,", ",""))</f>
        <v/>
      </c>
    </row>
    <row r="9" spans="1:14" s="10" customFormat="1" ht="35.1" customHeight="1" thickTop="1" thickBot="1" x14ac:dyDescent="0.3">
      <c r="A9" s="68"/>
      <c r="B9" s="59"/>
      <c r="C9" s="61"/>
      <c r="D9" s="59"/>
      <c r="E9" s="74" t="s">
        <v>187</v>
      </c>
      <c r="F9" s="73" t="b">
        <v>0</v>
      </c>
      <c r="G9" s="95"/>
      <c r="H9" s="94"/>
      <c r="I9" s="176"/>
      <c r="J9" s="176"/>
      <c r="K9" s="176"/>
      <c r="L9" s="94"/>
      <c r="M9" s="94"/>
      <c r="N9" s="30"/>
    </row>
    <row r="10" spans="1:14" s="10" customFormat="1" ht="35.1" customHeight="1" thickTop="1" thickBot="1" x14ac:dyDescent="0.3">
      <c r="A10" s="68"/>
      <c r="B10" s="59"/>
      <c r="C10" s="172" t="s">
        <v>290</v>
      </c>
      <c r="D10" s="172"/>
      <c r="E10" s="160" t="s">
        <v>205</v>
      </c>
      <c r="F10" s="69" t="b">
        <f>+IF(E10&gt;"",TRUE,FALSE)</f>
        <v>1</v>
      </c>
      <c r="G10" s="95"/>
      <c r="H10" s="94"/>
      <c r="I10" s="176"/>
      <c r="J10" s="176"/>
      <c r="K10" s="176"/>
      <c r="L10" s="94"/>
      <c r="M10" s="94"/>
      <c r="N10" s="30"/>
    </row>
    <row r="11" spans="1:14" s="10" customFormat="1" ht="35.1" customHeight="1" thickTop="1" thickBot="1" x14ac:dyDescent="0.3">
      <c r="A11" s="68"/>
      <c r="B11" s="59"/>
      <c r="C11" s="61"/>
      <c r="D11" s="59"/>
      <c r="E11" s="75" t="s">
        <v>188</v>
      </c>
      <c r="F11" s="73" t="b">
        <f>+COUNTIF(F12:F21,TRUE)&gt;0</f>
        <v>0</v>
      </c>
      <c r="G11" s="95"/>
      <c r="H11" s="94"/>
      <c r="I11" s="176"/>
      <c r="J11" s="176"/>
      <c r="K11" s="176"/>
      <c r="L11" s="94"/>
      <c r="M11" s="94"/>
      <c r="N11" s="30"/>
    </row>
    <row r="12" spans="1:14" s="10" customFormat="1" ht="35.1" customHeight="1" thickTop="1" thickBot="1" x14ac:dyDescent="0.3">
      <c r="A12" s="68"/>
      <c r="B12" s="59"/>
      <c r="C12" s="61"/>
      <c r="D12" s="59"/>
      <c r="E12" s="147" t="s">
        <v>317</v>
      </c>
      <c r="F12" s="73" t="b">
        <v>0</v>
      </c>
      <c r="G12" s="95"/>
      <c r="H12" s="94"/>
      <c r="I12" s="176"/>
      <c r="J12" s="176"/>
      <c r="K12" s="176"/>
      <c r="L12" s="94"/>
      <c r="M12" s="94"/>
      <c r="N12" s="30" t="str">
        <f>+IF(
COUNTIF(F13:$F$21,TRUE)=1," e ",
IF(
COUNTIF(F13:$F$21,TRUE)&gt;1,", ",""))</f>
        <v/>
      </c>
    </row>
    <row r="13" spans="1:14" s="10" customFormat="1" ht="35.1" customHeight="1" thickTop="1" thickBot="1" x14ac:dyDescent="0.3">
      <c r="A13" s="68"/>
      <c r="B13" s="59"/>
      <c r="C13" s="61"/>
      <c r="D13" s="59"/>
      <c r="E13" s="147" t="s">
        <v>318</v>
      </c>
      <c r="F13" s="73" t="b">
        <v>0</v>
      </c>
      <c r="G13" s="95"/>
      <c r="H13" s="94"/>
      <c r="I13" s="176"/>
      <c r="J13" s="176"/>
      <c r="K13" s="176"/>
      <c r="L13" s="94"/>
      <c r="M13" s="94"/>
      <c r="N13" s="30" t="str">
        <f>+IF(
COUNTIF(F14:$F$21,TRUE)=1," e ",
IF(
COUNTIF(F14:$F$21,TRUE)&gt;1,", ",""))</f>
        <v/>
      </c>
    </row>
    <row r="14" spans="1:14" s="10" customFormat="1" ht="35.1" customHeight="1" thickTop="1" thickBot="1" x14ac:dyDescent="0.3">
      <c r="A14" s="68"/>
      <c r="B14" s="59"/>
      <c r="C14" s="61"/>
      <c r="D14" s="59"/>
      <c r="E14" s="147" t="s">
        <v>319</v>
      </c>
      <c r="F14" s="73" t="b">
        <v>0</v>
      </c>
      <c r="G14" s="95"/>
      <c r="H14" s="94"/>
      <c r="I14" s="176"/>
      <c r="J14" s="176"/>
      <c r="K14" s="176"/>
      <c r="L14" s="94"/>
      <c r="M14" s="94"/>
      <c r="N14" s="30" t="str">
        <f>+IF(
COUNTIF(F15:$F$21,TRUE)=1," e ",
IF(
COUNTIF(F15:$F$21,TRUE)&gt;1,", ",""))</f>
        <v/>
      </c>
    </row>
    <row r="15" spans="1:14" s="10" customFormat="1" ht="35.1" customHeight="1" thickTop="1" thickBot="1" x14ac:dyDescent="0.3">
      <c r="A15" s="68"/>
      <c r="B15" s="59"/>
      <c r="C15" s="61"/>
      <c r="D15" s="59"/>
      <c r="E15" s="147" t="s">
        <v>175</v>
      </c>
      <c r="F15" s="73" t="b">
        <v>0</v>
      </c>
      <c r="G15" s="95"/>
      <c r="H15" s="94"/>
      <c r="I15" s="176"/>
      <c r="J15" s="176"/>
      <c r="K15" s="176"/>
      <c r="L15" s="94"/>
      <c r="M15" s="94"/>
      <c r="N15" s="30" t="str">
        <f>+IF(
COUNTIF(F16:$F$21,TRUE)=1," e ",
IF(
COUNTIF(F16:$F$21,TRUE)&gt;1,", ",""))</f>
        <v/>
      </c>
    </row>
    <row r="16" spans="1:14" s="10" customFormat="1" ht="35.1" customHeight="1" thickTop="1" thickBot="1" x14ac:dyDescent="0.3">
      <c r="A16" s="68"/>
      <c r="B16" s="59"/>
      <c r="C16" s="61"/>
      <c r="D16" s="59"/>
      <c r="E16" s="147" t="s">
        <v>320</v>
      </c>
      <c r="F16" s="73" t="b">
        <v>0</v>
      </c>
      <c r="G16" s="95"/>
      <c r="H16" s="94"/>
      <c r="I16" s="176"/>
      <c r="J16" s="176"/>
      <c r="K16" s="176"/>
      <c r="L16" s="94"/>
      <c r="M16" s="94"/>
      <c r="N16" s="30" t="str">
        <f>+IF(
COUNTIF(F17:$F$21,TRUE)=1," e ",
IF(
COUNTIF(F17:$F$21,TRUE)&gt;1,", ",""))</f>
        <v/>
      </c>
    </row>
    <row r="17" spans="1:14" s="10" customFormat="1" ht="35.1" customHeight="1" thickTop="1" thickBot="1" x14ac:dyDescent="0.3">
      <c r="A17" s="68"/>
      <c r="B17" s="59"/>
      <c r="C17" s="61"/>
      <c r="D17" s="59"/>
      <c r="E17" s="147" t="s">
        <v>321</v>
      </c>
      <c r="F17" s="73" t="b">
        <v>0</v>
      </c>
      <c r="G17" s="95"/>
      <c r="H17" s="94"/>
      <c r="I17" s="176"/>
      <c r="J17" s="176"/>
      <c r="K17" s="176"/>
      <c r="L17" s="94"/>
      <c r="M17" s="94"/>
      <c r="N17" s="30" t="str">
        <f>+IF(
COUNTIF(F18:$F$21,TRUE)=1," e ",
IF(
COUNTIF(F18:$F$21,TRUE)&gt;1,", ",""))</f>
        <v/>
      </c>
    </row>
    <row r="18" spans="1:14" s="10" customFormat="1" ht="35.1" customHeight="1" thickTop="1" thickBot="1" x14ac:dyDescent="0.3">
      <c r="A18" s="68"/>
      <c r="B18" s="59"/>
      <c r="C18" s="61"/>
      <c r="D18" s="59"/>
      <c r="E18" s="147" t="s">
        <v>325</v>
      </c>
      <c r="F18" s="73" t="b">
        <v>0</v>
      </c>
      <c r="G18" s="95"/>
      <c r="H18" s="94"/>
      <c r="I18" s="176"/>
      <c r="J18" s="176"/>
      <c r="K18" s="176"/>
      <c r="L18" s="94"/>
      <c r="M18" s="94"/>
      <c r="N18" s="30" t="str">
        <f>+IF(
COUNTIF(F19:$F$21,TRUE)=1," e ",
IF(
COUNTIF(F19:$F$21,TRUE)&gt;1,", ",""))</f>
        <v/>
      </c>
    </row>
    <row r="19" spans="1:14" s="10" customFormat="1" ht="35.1" customHeight="1" thickTop="1" thickBot="1" x14ac:dyDescent="0.3">
      <c r="A19" s="68"/>
      <c r="B19" s="59"/>
      <c r="C19" s="61"/>
      <c r="D19" s="59"/>
      <c r="E19" s="147" t="s">
        <v>322</v>
      </c>
      <c r="F19" s="73" t="b">
        <v>0</v>
      </c>
      <c r="G19" s="95"/>
      <c r="H19" s="94"/>
      <c r="I19" s="176"/>
      <c r="J19" s="176"/>
      <c r="K19" s="176"/>
      <c r="L19" s="94"/>
      <c r="M19" s="94"/>
      <c r="N19" s="30" t="str">
        <f>+IF(
COUNTIF(F20:$F$21,TRUE)=1," e ",
IF(
COUNTIF(F20:$F$21,TRUE)&gt;1,", ",""))</f>
        <v/>
      </c>
    </row>
    <row r="20" spans="1:14" s="10" customFormat="1" ht="35.1" customHeight="1" thickTop="1" thickBot="1" x14ac:dyDescent="0.3">
      <c r="A20" s="68"/>
      <c r="B20" s="59"/>
      <c r="C20" s="61"/>
      <c r="D20" s="59"/>
      <c r="E20" s="147" t="s">
        <v>323</v>
      </c>
      <c r="F20" s="73" t="b">
        <v>0</v>
      </c>
      <c r="G20" s="95"/>
      <c r="H20" s="94"/>
      <c r="I20" s="176"/>
      <c r="J20" s="176"/>
      <c r="K20" s="176"/>
      <c r="L20" s="94"/>
      <c r="M20" s="94"/>
      <c r="N20" s="30" t="str">
        <f>+IF(
COUNTIF(F21:$F$21,TRUE)=1," e ",
IF(
COUNTIF(F21:$F$21,TRUE)&gt;1,", ",""))</f>
        <v/>
      </c>
    </row>
    <row r="21" spans="1:14" s="10" customFormat="1" ht="35.1" customHeight="1" thickTop="1" thickBot="1" x14ac:dyDescent="0.3">
      <c r="A21" s="68"/>
      <c r="B21" s="59"/>
      <c r="C21" s="61"/>
      <c r="D21" s="59"/>
      <c r="E21" s="147" t="s">
        <v>324</v>
      </c>
      <c r="F21" s="73" t="b">
        <v>0</v>
      </c>
      <c r="G21" s="95"/>
      <c r="H21" s="94"/>
      <c r="I21" s="176"/>
      <c r="J21" s="176"/>
      <c r="K21" s="176"/>
      <c r="L21" s="94"/>
      <c r="M21" s="94"/>
      <c r="N21" s="30"/>
    </row>
    <row r="22" spans="1:14" s="10" customFormat="1" ht="35.1" customHeight="1" thickTop="1" x14ac:dyDescent="0.25">
      <c r="A22" s="68"/>
      <c r="B22" s="59"/>
      <c r="C22" s="61"/>
      <c r="D22" s="59"/>
      <c r="E22" s="75" t="s">
        <v>176</v>
      </c>
      <c r="F22" s="71"/>
      <c r="G22" s="50"/>
      <c r="H22" s="94"/>
      <c r="I22" s="175" t="str" cm="1">
        <f t="array" ref="I22">IF(OR(F23,F29,F38),+"Lo stato di crisi ha causato anomalie:"&amp;CHAR(10)&amp;
IF(COUNTIF(F24:F28,TRUE)&gt;0,CHAR(10)&amp;p&amp;"da un punto di vista commerciale"&amp;IF(OR(F29,F38),";",pu),"")&amp;
IF(COUNTIF(F30:F36,TRUE)&gt;0,CHAR(10)&amp;p&amp;"nei rapporti con le banche"&amp;IF(F38,";",pu),"")&amp;
IF(COUNTIF(F39:F42,TRUE)&gt;0,CHAR(10)&amp;p&amp;"da un punto di vista gestionale"&amp;pu,""),"")</f>
        <v>Lo stato di crisi ha causato anomalie:
• da un punto di vista commerciale;</v>
      </c>
      <c r="J22" s="175"/>
      <c r="K22" s="175"/>
      <c r="L22" s="94"/>
      <c r="M22" s="94"/>
      <c r="N22" s="30"/>
    </row>
    <row r="23" spans="1:14" s="10" customFormat="1" ht="35.1" customHeight="1" thickBot="1" x14ac:dyDescent="0.3">
      <c r="A23" s="68"/>
      <c r="B23" s="59"/>
      <c r="C23" s="61"/>
      <c r="D23" s="59"/>
      <c r="E23" s="76" t="s">
        <v>177</v>
      </c>
      <c r="F23" s="73" t="b">
        <f>+COUNTIF(F24:F28,TRUE)&gt;0</f>
        <v>1</v>
      </c>
      <c r="G23" s="95"/>
      <c r="H23" s="94"/>
      <c r="I23" s="174"/>
      <c r="J23" s="174"/>
      <c r="K23" s="174"/>
      <c r="L23" s="94"/>
      <c r="M23" s="94"/>
      <c r="N23" s="30"/>
    </row>
    <row r="24" spans="1:14" s="10" customFormat="1" ht="35.1" hidden="1" customHeight="1" outlineLevel="1" thickTop="1" thickBot="1" x14ac:dyDescent="0.3">
      <c r="A24" s="68"/>
      <c r="B24" s="59"/>
      <c r="C24" s="61"/>
      <c r="D24" s="59"/>
      <c r="E24" s="74" t="s">
        <v>190</v>
      </c>
      <c r="F24" s="73" t="b">
        <v>0</v>
      </c>
      <c r="G24" s="95"/>
      <c r="H24" s="94"/>
      <c r="I24" s="174" t="str" cm="1">
        <f t="array" ref="I24">+IF(F23,E23&amp;" si sono verificati "&amp;
IF(F24,E24&amp;N24,"")&amp;
IF(F25,E25&amp;N25,"")&amp;
IF(F26,E26&amp;N26,"")&amp;
IF(F27,E27&amp;N27,"")&amp;
IF(F28,E28&amp;N28,"")&amp;
pu&amp;AC,"")</f>
        <v xml:space="preserve">Da un punto di vista commerciale si sono verificati altro (specificare). 
</v>
      </c>
      <c r="J24" s="174"/>
      <c r="K24" s="174"/>
      <c r="L24" s="94"/>
      <c r="M24" s="94"/>
      <c r="N24" s="30" t="str">
        <f>+IF(
COUNTIF(F25:$F$28,TRUE)=1," e ",
IF(
COUNTIF(F25:$F$28,TRUE)&gt;1,", ",""))</f>
        <v xml:space="preserve"> e </v>
      </c>
    </row>
    <row r="25" spans="1:14" s="10" customFormat="1" ht="35.1" hidden="1" customHeight="1" outlineLevel="1" thickTop="1" thickBot="1" x14ac:dyDescent="0.3">
      <c r="A25" s="68"/>
      <c r="B25" s="59"/>
      <c r="C25" s="61"/>
      <c r="D25" s="59"/>
      <c r="E25" s="74" t="s">
        <v>191</v>
      </c>
      <c r="F25" s="73" t="b">
        <v>0</v>
      </c>
      <c r="G25" s="95"/>
      <c r="H25" s="94"/>
      <c r="I25" s="174"/>
      <c r="J25" s="174"/>
      <c r="K25" s="174"/>
      <c r="L25" s="94"/>
      <c r="M25" s="94"/>
      <c r="N25" s="30" t="str">
        <f>+IF(
COUNTIF(F26:$F$28,TRUE)=1," e ",
IF(
COUNTIF(F26:$F$28,TRUE)&gt;1,", ",""))</f>
        <v xml:space="preserve"> e </v>
      </c>
    </row>
    <row r="26" spans="1:14" s="10" customFormat="1" ht="35.1" hidden="1" customHeight="1" outlineLevel="1" thickTop="1" thickBot="1" x14ac:dyDescent="0.3">
      <c r="A26" s="68"/>
      <c r="B26" s="59"/>
      <c r="C26" s="61"/>
      <c r="D26" s="59"/>
      <c r="E26" s="74" t="s">
        <v>192</v>
      </c>
      <c r="F26" s="73" t="b">
        <v>0</v>
      </c>
      <c r="G26" s="95"/>
      <c r="H26" s="94"/>
      <c r="I26" s="174"/>
      <c r="J26" s="174"/>
      <c r="K26" s="174"/>
      <c r="L26" s="94"/>
      <c r="M26" s="94"/>
      <c r="N26" s="30" t="str">
        <f>+IF(
COUNTIF(F27:$F$28,TRUE)=1," e ",
IF(
COUNTIF(F27:$F$28,TRUE)&gt;1,", ",""))</f>
        <v xml:space="preserve"> e </v>
      </c>
    </row>
    <row r="27" spans="1:14" s="10" customFormat="1" ht="35.1" hidden="1" customHeight="1" outlineLevel="1" thickTop="1" thickBot="1" x14ac:dyDescent="0.3">
      <c r="A27" s="68"/>
      <c r="B27" s="59"/>
      <c r="C27" s="61"/>
      <c r="D27" s="59"/>
      <c r="E27" s="74" t="s">
        <v>193</v>
      </c>
      <c r="F27" s="73" t="b">
        <v>0</v>
      </c>
      <c r="G27" s="95"/>
      <c r="H27" s="94"/>
      <c r="I27" s="174"/>
      <c r="J27" s="174"/>
      <c r="K27" s="174"/>
      <c r="L27" s="94"/>
      <c r="M27" s="94"/>
      <c r="N27" s="30" t="str">
        <f>+IF(
COUNTIF(F28:$F$28,TRUE)=1," e ",
IF(
COUNTIF(F28:$F$28,TRUE)&gt;1,", ",""))</f>
        <v xml:space="preserve"> e </v>
      </c>
    </row>
    <row r="28" spans="1:14" s="10" customFormat="1" ht="35.1" hidden="1" customHeight="1" outlineLevel="1" thickTop="1" thickBot="1" x14ac:dyDescent="0.3">
      <c r="A28" s="68"/>
      <c r="B28" s="68"/>
      <c r="C28" s="172" t="s">
        <v>194</v>
      </c>
      <c r="D28" s="172"/>
      <c r="E28" s="134" t="s">
        <v>205</v>
      </c>
      <c r="F28" s="69" t="b">
        <f>+IF(E28&gt;"",TRUE,FALSE)</f>
        <v>1</v>
      </c>
      <c r="G28" s="95"/>
      <c r="H28" s="94"/>
      <c r="I28" s="174"/>
      <c r="J28" s="174"/>
      <c r="K28" s="174"/>
      <c r="L28" s="94"/>
      <c r="M28" s="94"/>
      <c r="N28" s="30"/>
    </row>
    <row r="29" spans="1:14" s="10" customFormat="1" ht="35.1" customHeight="1" collapsed="1" thickTop="1" thickBot="1" x14ac:dyDescent="0.3">
      <c r="A29" s="68"/>
      <c r="B29" s="59"/>
      <c r="C29" s="61"/>
      <c r="D29" s="59"/>
      <c r="E29" s="76" t="s">
        <v>224</v>
      </c>
      <c r="F29" s="73" t="b">
        <f>+COUNTIF(F30:F37,TRUE)&gt;0</f>
        <v>1</v>
      </c>
      <c r="G29" s="95"/>
      <c r="H29" s="94"/>
      <c r="I29" s="174" t="str" cm="1">
        <f t="array" ref="I29">+IF(F29,E29&amp;" sono state rilevate "&amp;
IF(F30,E30&amp;N30,"")&amp;
IF(F31,E31&amp;N31,"")&amp;
IF(F32,E32&amp;N32,"")&amp;
IF(F33,E33&amp;N33,"")&amp;
IF(F34,E34&amp;N34,"")&amp;
IF(F35,E35&amp;N35,"")&amp;
IF(F36,E36&amp;N36,"")&amp;
IF(F37,E37&amp;N37,"")&amp;
pu&amp;AC,"")</f>
        <v xml:space="preserve">Nei rapporti con le banche sono state rilevate altro (specificare). 
</v>
      </c>
      <c r="J29" s="174"/>
      <c r="K29" s="174"/>
      <c r="L29" s="94"/>
      <c r="M29" s="94"/>
      <c r="N29" s="30"/>
    </row>
    <row r="30" spans="1:14" s="10" customFormat="1" ht="35.1" hidden="1" customHeight="1" outlineLevel="1" thickTop="1" thickBot="1" x14ac:dyDescent="0.3">
      <c r="A30" s="68"/>
      <c r="B30" s="59"/>
      <c r="C30" s="61"/>
      <c r="D30" s="59"/>
      <c r="E30" s="74" t="s">
        <v>195</v>
      </c>
      <c r="F30" s="73" t="b">
        <v>0</v>
      </c>
      <c r="G30" s="95"/>
      <c r="H30" s="94"/>
      <c r="I30" s="174"/>
      <c r="J30" s="174"/>
      <c r="K30" s="174"/>
      <c r="L30" s="94"/>
      <c r="M30" s="94"/>
      <c r="N30" s="30" t="str">
        <f>+IF(
COUNTIF(F31:$F$37,TRUE)=1," e ",
IF(
COUNTIF(F31:$F$37,TRUE)&gt;1,", ",""))</f>
        <v xml:space="preserve"> e </v>
      </c>
    </row>
    <row r="31" spans="1:14" s="10" customFormat="1" ht="35.1" hidden="1" customHeight="1" outlineLevel="1" thickTop="1" thickBot="1" x14ac:dyDescent="0.3">
      <c r="A31" s="68"/>
      <c r="B31" s="59"/>
      <c r="C31" s="61"/>
      <c r="D31" s="59"/>
      <c r="E31" s="74" t="s">
        <v>196</v>
      </c>
      <c r="F31" s="73" t="b">
        <v>0</v>
      </c>
      <c r="G31" s="95"/>
      <c r="H31" s="94"/>
      <c r="I31" s="174"/>
      <c r="J31" s="174"/>
      <c r="K31" s="174"/>
      <c r="L31" s="94"/>
      <c r="M31" s="94"/>
      <c r="N31" s="30" t="str">
        <f>+IF(
COUNTIF(F32:$F$37,TRUE)=1," e ",
IF(
COUNTIF(F32:$F$37,TRUE)&gt;1,", ",""))</f>
        <v xml:space="preserve"> e </v>
      </c>
    </row>
    <row r="32" spans="1:14" s="10" customFormat="1" ht="35.1" hidden="1" customHeight="1" outlineLevel="1" thickTop="1" thickBot="1" x14ac:dyDescent="0.3">
      <c r="A32" s="68"/>
      <c r="B32" s="59"/>
      <c r="C32" s="61"/>
      <c r="D32" s="59"/>
      <c r="E32" s="74" t="s">
        <v>197</v>
      </c>
      <c r="F32" s="73" t="b">
        <v>0</v>
      </c>
      <c r="G32" s="95"/>
      <c r="H32" s="94"/>
      <c r="I32" s="174"/>
      <c r="J32" s="174"/>
      <c r="K32" s="174"/>
      <c r="L32" s="94"/>
      <c r="M32" s="94"/>
      <c r="N32" s="30" t="str">
        <f>+IF(
COUNTIF(F33:$F$37,TRUE)=1," e ",
IF(
COUNTIF(F33:$F$37,TRUE)&gt;1,", ",""))</f>
        <v xml:space="preserve"> e </v>
      </c>
    </row>
    <row r="33" spans="1:14" s="10" customFormat="1" ht="35.1" hidden="1" customHeight="1" outlineLevel="1" thickTop="1" thickBot="1" x14ac:dyDescent="0.3">
      <c r="A33" s="68"/>
      <c r="B33" s="59"/>
      <c r="C33" s="68"/>
      <c r="D33" s="59"/>
      <c r="E33" s="74" t="s">
        <v>198</v>
      </c>
      <c r="F33" s="73" t="b">
        <v>0</v>
      </c>
      <c r="G33" s="95"/>
      <c r="H33" s="94"/>
      <c r="I33" s="174"/>
      <c r="J33" s="174"/>
      <c r="K33" s="174"/>
      <c r="L33" s="94"/>
      <c r="M33" s="94"/>
      <c r="N33" s="30" t="str">
        <f>+IF(
COUNTIF(F34:$F$37,TRUE)=1," e ",
IF(
COUNTIF(F34:$F$37,TRUE)&gt;1,", ",""))</f>
        <v xml:space="preserve"> e </v>
      </c>
    </row>
    <row r="34" spans="1:14" s="10" customFormat="1" ht="35.1" hidden="1" customHeight="1" outlineLevel="1" thickTop="1" thickBot="1" x14ac:dyDescent="0.3">
      <c r="A34" s="68"/>
      <c r="B34" s="59"/>
      <c r="C34" s="68"/>
      <c r="D34" s="59"/>
      <c r="E34" s="74" t="s">
        <v>199</v>
      </c>
      <c r="F34" s="73" t="b">
        <v>0</v>
      </c>
      <c r="G34" s="95"/>
      <c r="H34" s="94"/>
      <c r="I34" s="174"/>
      <c r="J34" s="174"/>
      <c r="K34" s="174"/>
      <c r="L34" s="94"/>
      <c r="M34" s="94"/>
      <c r="N34" s="30" t="str">
        <f>+IF(
COUNTIF(F35:$F$37,TRUE)=1," e ",
IF(
COUNTIF(F35:$F$37,TRUE)&gt;1,", ",""))</f>
        <v xml:space="preserve"> e </v>
      </c>
    </row>
    <row r="35" spans="1:14" s="10" customFormat="1" ht="35.1" hidden="1" customHeight="1" outlineLevel="1" thickTop="1" thickBot="1" x14ac:dyDescent="0.3">
      <c r="A35" s="68"/>
      <c r="B35" s="59"/>
      <c r="C35" s="68"/>
      <c r="D35" s="59"/>
      <c r="E35" s="74" t="s">
        <v>200</v>
      </c>
      <c r="F35" s="73" t="b">
        <v>0</v>
      </c>
      <c r="G35" s="95"/>
      <c r="H35" s="94"/>
      <c r="I35" s="174"/>
      <c r="J35" s="174"/>
      <c r="K35" s="174"/>
      <c r="L35" s="94"/>
      <c r="M35" s="94"/>
      <c r="N35" s="30" t="str">
        <f>+IF(
COUNTIF(F36:$F$37,TRUE)=1," e ",
IF(
COUNTIF(F36:$F$37,TRUE)&gt;1,", ",""))</f>
        <v xml:space="preserve"> e </v>
      </c>
    </row>
    <row r="36" spans="1:14" s="10" customFormat="1" ht="35.1" hidden="1" customHeight="1" outlineLevel="1" thickTop="1" thickBot="1" x14ac:dyDescent="0.3">
      <c r="A36" s="68"/>
      <c r="B36" s="59"/>
      <c r="C36" s="68"/>
      <c r="D36" s="59"/>
      <c r="E36" s="74" t="s">
        <v>201</v>
      </c>
      <c r="F36" s="73" t="b">
        <v>0</v>
      </c>
      <c r="G36" s="95"/>
      <c r="H36" s="94"/>
      <c r="I36" s="174"/>
      <c r="J36" s="174"/>
      <c r="K36" s="174"/>
      <c r="L36" s="94"/>
      <c r="M36" s="94"/>
      <c r="N36" s="30" t="str">
        <f>+IF(
COUNTIF(F37:$F$37,TRUE)=1," e ",
IF(
COUNTIF(F37:$F$37,TRUE)&gt;1,", ",""))</f>
        <v xml:space="preserve"> e </v>
      </c>
    </row>
    <row r="37" spans="1:14" s="10" customFormat="1" ht="35.1" hidden="1" customHeight="1" outlineLevel="1" thickTop="1" thickBot="1" x14ac:dyDescent="0.3">
      <c r="A37" s="68"/>
      <c r="B37" s="68"/>
      <c r="C37" s="172" t="s">
        <v>194</v>
      </c>
      <c r="D37" s="172"/>
      <c r="E37" s="134" t="s">
        <v>205</v>
      </c>
      <c r="F37" s="69" t="b">
        <f>+IF(E37&gt;"",TRUE,FALSE)</f>
        <v>1</v>
      </c>
      <c r="G37" s="95"/>
      <c r="H37" s="94"/>
      <c r="I37" s="93"/>
      <c r="J37" s="93"/>
      <c r="K37" s="93"/>
      <c r="L37" s="94"/>
      <c r="M37" s="94"/>
      <c r="N37" s="30"/>
    </row>
    <row r="38" spans="1:14" s="10" customFormat="1" ht="35.1" customHeight="1" collapsed="1" thickTop="1" thickBot="1" x14ac:dyDescent="0.3">
      <c r="A38" s="68"/>
      <c r="B38" s="59"/>
      <c r="C38" s="68"/>
      <c r="D38" s="59"/>
      <c r="E38" s="76" t="s">
        <v>202</v>
      </c>
      <c r="F38" s="73" t="b">
        <f>+COUNTIF(F39:F43,TRUE)&gt;0</f>
        <v>1</v>
      </c>
      <c r="G38" s="95"/>
      <c r="H38" s="94"/>
      <c r="I38" s="174" t="str" cm="1">
        <f t="array" ref="I38">+IF(F38,E38&amp;
IF(F39,E39&amp;N39,"")&amp;
IF(F40,E40&amp;N40,"")&amp;
IF(F41,E41&amp;N41,"")&amp;
IF(F42,E42&amp;N42,"")&amp;
IF(F43,E43&amp;N43,"")&amp;
pu&amp;AC,"")</f>
        <v xml:space="preserve">Da un punto di vista gestionale si segnala altro (specificare). 
</v>
      </c>
      <c r="J38" s="174"/>
      <c r="K38" s="174"/>
      <c r="L38" s="94"/>
      <c r="M38" s="94"/>
      <c r="N38" s="30"/>
    </row>
    <row r="39" spans="1:14" s="10" customFormat="1" ht="35.1" hidden="1" customHeight="1" outlineLevel="1" thickTop="1" thickBot="1" x14ac:dyDescent="0.3">
      <c r="A39" s="68"/>
      <c r="B39" s="59"/>
      <c r="C39" s="68"/>
      <c r="D39" s="59"/>
      <c r="E39" s="74" t="s">
        <v>203</v>
      </c>
      <c r="F39" s="73" t="b">
        <v>0</v>
      </c>
      <c r="G39" s="95"/>
      <c r="H39" s="94"/>
      <c r="I39" s="174"/>
      <c r="J39" s="174"/>
      <c r="K39" s="174"/>
      <c r="L39" s="94"/>
      <c r="M39" s="94"/>
      <c r="N39" s="30" t="str">
        <f>+IF(
COUNTIF(F40:$F$43,TRUE)=1," e ",
IF(
COUNTIF(F40:$F$43,TRUE)&gt;1,", ",""))</f>
        <v xml:space="preserve"> e </v>
      </c>
    </row>
    <row r="40" spans="1:14" s="10" customFormat="1" ht="35.1" hidden="1" customHeight="1" outlineLevel="1" thickTop="1" thickBot="1" x14ac:dyDescent="0.3">
      <c r="A40" s="68"/>
      <c r="B40" s="59"/>
      <c r="C40" s="68"/>
      <c r="D40" s="59"/>
      <c r="E40" s="74" t="s">
        <v>204</v>
      </c>
      <c r="F40" s="73" t="b">
        <v>0</v>
      </c>
      <c r="G40" s="95"/>
      <c r="H40" s="94"/>
      <c r="I40" s="174"/>
      <c r="J40" s="174"/>
      <c r="K40" s="174"/>
      <c r="L40" s="94"/>
      <c r="M40" s="94"/>
      <c r="N40" s="30" t="str">
        <f>+IF(
COUNTIF(F41:$F$43,TRUE)=1," e ",
IF(
COUNTIF(F41:$F$43,TRUE)&gt;1,", ",""))</f>
        <v xml:space="preserve"> e </v>
      </c>
    </row>
    <row r="41" spans="1:14" s="10" customFormat="1" ht="35.1" hidden="1" customHeight="1" outlineLevel="1" thickTop="1" thickBot="1" x14ac:dyDescent="0.3">
      <c r="A41" s="68"/>
      <c r="B41" s="59"/>
      <c r="C41" s="68"/>
      <c r="D41" s="59"/>
      <c r="E41" s="74" t="s">
        <v>225</v>
      </c>
      <c r="F41" s="73" t="b">
        <v>0</v>
      </c>
      <c r="G41" s="95"/>
      <c r="H41" s="94"/>
      <c r="I41" s="174"/>
      <c r="J41" s="174"/>
      <c r="K41" s="174"/>
      <c r="L41" s="94"/>
      <c r="M41" s="94"/>
      <c r="N41" s="30" t="str">
        <f>+IF(
COUNTIF(F43:$F$43,TRUE)=1," e ",
IF(
COUNTIF(F43:$F$43,TRUE)&gt;1,", ",""))</f>
        <v xml:space="preserve"> e </v>
      </c>
    </row>
    <row r="42" spans="1:14" s="10" customFormat="1" ht="35.1" hidden="1" customHeight="1" outlineLevel="1" thickTop="1" thickBot="1" x14ac:dyDescent="0.3">
      <c r="A42" s="68"/>
      <c r="B42" s="59"/>
      <c r="C42" s="68"/>
      <c r="D42" s="59"/>
      <c r="E42" s="74" t="s">
        <v>226</v>
      </c>
      <c r="F42" s="73" t="b">
        <v>0</v>
      </c>
      <c r="G42" s="95"/>
      <c r="H42" s="94"/>
      <c r="I42" s="174"/>
      <c r="J42" s="174"/>
      <c r="K42" s="174"/>
      <c r="L42" s="94"/>
      <c r="M42" s="94"/>
      <c r="N42" s="30" t="str">
        <f>+IF(
COUNTIF(F$43:$F43,TRUE)=1," e ",
IF(
COUNTIF(F$43:$F43,TRUE)&gt;1,", ",""))</f>
        <v xml:space="preserve"> e </v>
      </c>
    </row>
    <row r="43" spans="1:14" s="10" customFormat="1" ht="35.1" hidden="1" customHeight="1" outlineLevel="1" thickTop="1" thickBot="1" x14ac:dyDescent="0.3">
      <c r="A43" s="68"/>
      <c r="B43" s="68"/>
      <c r="C43" s="172" t="s">
        <v>206</v>
      </c>
      <c r="D43" s="172"/>
      <c r="E43" s="134" t="s">
        <v>205</v>
      </c>
      <c r="F43" s="69" t="b">
        <f>+IF(E43&gt;"",TRUE,FALSE)</f>
        <v>1</v>
      </c>
      <c r="G43" s="95"/>
      <c r="H43" s="94"/>
      <c r="I43" s="174"/>
      <c r="J43" s="174"/>
      <c r="K43" s="174"/>
      <c r="L43" s="94"/>
      <c r="M43" s="94"/>
      <c r="N43" s="30"/>
    </row>
    <row r="44" spans="1:14" s="10" customFormat="1" ht="35.1" customHeight="1" collapsed="1" thickTop="1" thickBot="1" x14ac:dyDescent="0.3">
      <c r="A44" s="68"/>
      <c r="B44" s="59"/>
      <c r="C44" s="68"/>
      <c r="D44" s="77"/>
      <c r="E44" s="74" t="s">
        <v>228</v>
      </c>
      <c r="F44" s="73" t="b">
        <f>+COUNTIF(F45:F53,TRUE)&gt;0</f>
        <v>1</v>
      </c>
      <c r="G44" s="95"/>
      <c r="H44" s="94"/>
      <c r="I44" s="174" t="str" cm="1">
        <f t="array" ref="I44">+IF(F44,E44&amp;
IF(F45,E45&amp;N45,"")&amp;
IF(F46,E46&amp;N46,"")&amp;
IF(F47,E47&amp;N47,"")&amp;
IF(F48,E48&amp;N48,"")&amp;
IF(F49,E49&amp;N49,"")&amp;
IF(F50,E50&amp;N50,"")&amp;
IF(F51,E51&amp;N51,"")&amp;
IF(F52,E52&amp;N52,"")&amp;
IF(F53,E53&amp;N53,"")&amp;
pu&amp;AC,"")</f>
        <v xml:space="preserve">La situazione di difficoltà descritta ha causato un debito da ristrutturare (per mancati pagamenti e/o richieste di rientro) per altro (specificare). 
</v>
      </c>
      <c r="J44" s="174"/>
      <c r="K44" s="174"/>
      <c r="L44" s="94"/>
      <c r="M44" s="94"/>
      <c r="N44" s="30"/>
    </row>
    <row r="45" spans="1:14" s="10" customFormat="1" ht="35.1" hidden="1" customHeight="1" outlineLevel="1" thickTop="1" thickBot="1" x14ac:dyDescent="0.3">
      <c r="A45" s="68"/>
      <c r="B45" s="59"/>
      <c r="C45" s="68"/>
      <c r="D45" s="59"/>
      <c r="E45" s="74" t="s">
        <v>222</v>
      </c>
      <c r="F45" s="73" t="b">
        <v>0</v>
      </c>
      <c r="G45" s="95"/>
      <c r="H45" s="94"/>
      <c r="I45" s="174"/>
      <c r="J45" s="174"/>
      <c r="K45" s="174"/>
      <c r="L45" s="94"/>
      <c r="M45" s="94"/>
      <c r="N45" s="30" t="str">
        <f>+IF(
COUNTIF(F46:$F$53,TRUE)=1," e ",
IF(
COUNTIF(F46:$F$53,TRUE)&gt;1,", ",""))</f>
        <v xml:space="preserve"> e </v>
      </c>
    </row>
    <row r="46" spans="1:14" s="10" customFormat="1" ht="35.1" hidden="1" customHeight="1" outlineLevel="1" thickTop="1" thickBot="1" x14ac:dyDescent="0.3">
      <c r="A46" s="68"/>
      <c r="B46" s="59"/>
      <c r="C46" s="68"/>
      <c r="D46" s="59"/>
      <c r="E46" s="74" t="s">
        <v>208</v>
      </c>
      <c r="F46" s="73" t="b">
        <v>0</v>
      </c>
      <c r="G46" s="95"/>
      <c r="H46" s="94"/>
      <c r="I46" s="174"/>
      <c r="J46" s="174"/>
      <c r="K46" s="174"/>
      <c r="L46" s="94"/>
      <c r="M46" s="94"/>
      <c r="N46" s="30" t="str">
        <f>+IF(
COUNTIF(F47:$F$53,TRUE)=1," e ",
IF(
COUNTIF(F47:$F$53,TRUE)&gt;1,", ",""))</f>
        <v xml:space="preserve"> e </v>
      </c>
    </row>
    <row r="47" spans="1:14" s="10" customFormat="1" ht="35.1" hidden="1" customHeight="1" outlineLevel="1" thickTop="1" thickBot="1" x14ac:dyDescent="0.3">
      <c r="A47" s="68"/>
      <c r="B47" s="59"/>
      <c r="C47" s="68"/>
      <c r="D47" s="59"/>
      <c r="E47" s="74" t="s">
        <v>209</v>
      </c>
      <c r="F47" s="73" t="b">
        <v>0</v>
      </c>
      <c r="G47" s="95"/>
      <c r="H47" s="94"/>
      <c r="I47" s="174"/>
      <c r="J47" s="174"/>
      <c r="K47" s="174"/>
      <c r="L47" s="94"/>
      <c r="M47" s="94"/>
      <c r="N47" s="30" t="str">
        <f>+IF(
COUNTIF(F48:$F$53,TRUE)=1," e ",
IF(
COUNTIF(F48:$F$53,TRUE)&gt;1,", ",""))</f>
        <v xml:space="preserve"> e </v>
      </c>
    </row>
    <row r="48" spans="1:14" s="10" customFormat="1" ht="35.1" hidden="1" customHeight="1" outlineLevel="1" thickTop="1" thickBot="1" x14ac:dyDescent="0.3">
      <c r="A48" s="68"/>
      <c r="B48" s="59"/>
      <c r="C48" s="68"/>
      <c r="D48" s="59"/>
      <c r="E48" s="74" t="s">
        <v>210</v>
      </c>
      <c r="F48" s="73" t="b">
        <v>0</v>
      </c>
      <c r="G48" s="95"/>
      <c r="H48" s="94"/>
      <c r="I48" s="174"/>
      <c r="J48" s="174"/>
      <c r="K48" s="174"/>
      <c r="L48" s="94"/>
      <c r="M48" s="94"/>
      <c r="N48" s="30" t="str">
        <f>+IF(
COUNTIF(F49:$F$53,TRUE)=1," e ",
IF(
COUNTIF(F49:$F$53,TRUE)&gt;1,", ",""))</f>
        <v xml:space="preserve"> e </v>
      </c>
    </row>
    <row r="49" spans="1:14" s="10" customFormat="1" ht="35.1" hidden="1" customHeight="1" outlineLevel="1" thickTop="1" thickBot="1" x14ac:dyDescent="0.3">
      <c r="A49" s="68"/>
      <c r="B49" s="59"/>
      <c r="C49" s="68"/>
      <c r="D49" s="59"/>
      <c r="E49" s="74" t="s">
        <v>211</v>
      </c>
      <c r="F49" s="73" t="b">
        <v>0</v>
      </c>
      <c r="G49" s="95"/>
      <c r="H49" s="94"/>
      <c r="I49" s="174"/>
      <c r="J49" s="174"/>
      <c r="K49" s="174"/>
      <c r="L49" s="94"/>
      <c r="M49" s="94"/>
      <c r="N49" s="30" t="str">
        <f>+IF(
COUNTIF(F50:$F$53,TRUE)=1," e ",
IF(
COUNTIF(F50:$F$53,TRUE)&gt;1,", ",""))</f>
        <v xml:space="preserve"> e </v>
      </c>
    </row>
    <row r="50" spans="1:14" s="10" customFormat="1" ht="35.1" hidden="1" customHeight="1" outlineLevel="1" thickTop="1" thickBot="1" x14ac:dyDescent="0.3">
      <c r="A50" s="68"/>
      <c r="B50" s="59"/>
      <c r="C50" s="68"/>
      <c r="D50" s="59"/>
      <c r="E50" s="74" t="s">
        <v>212</v>
      </c>
      <c r="F50" s="73" t="b">
        <v>0</v>
      </c>
      <c r="G50" s="95"/>
      <c r="H50" s="94"/>
      <c r="I50" s="96"/>
      <c r="J50" s="93"/>
      <c r="K50" s="93"/>
      <c r="L50" s="94"/>
      <c r="M50" s="94"/>
      <c r="N50" s="30" t="str">
        <f>+IF(
COUNTIF(F51:$F$53,TRUE)=1," e ",
IF(
COUNTIF(F51:$F$53,TRUE)&gt;1,", ",""))</f>
        <v xml:space="preserve"> e </v>
      </c>
    </row>
    <row r="51" spans="1:14" s="10" customFormat="1" ht="35.1" hidden="1" customHeight="1" outlineLevel="1" thickTop="1" thickBot="1" x14ac:dyDescent="0.3">
      <c r="A51" s="68"/>
      <c r="B51" s="59"/>
      <c r="C51" s="68"/>
      <c r="D51" s="59"/>
      <c r="E51" s="74" t="s">
        <v>213</v>
      </c>
      <c r="F51" s="73" t="b">
        <v>0</v>
      </c>
      <c r="G51" s="95"/>
      <c r="H51" s="94"/>
      <c r="I51" s="96"/>
      <c r="J51" s="93"/>
      <c r="K51" s="93"/>
      <c r="L51" s="94"/>
      <c r="M51" s="94"/>
      <c r="N51" s="30" t="str">
        <f>+IF(
COUNTIF(F52:$F$53,TRUE)=1," e ",
IF(
COUNTIF(F52:$F$53,TRUE)&gt;1,", ",""))</f>
        <v xml:space="preserve"> e </v>
      </c>
    </row>
    <row r="52" spans="1:14" s="10" customFormat="1" ht="35.1" hidden="1" customHeight="1" outlineLevel="1" thickTop="1" thickBot="1" x14ac:dyDescent="0.3">
      <c r="A52" s="68"/>
      <c r="B52" s="59"/>
      <c r="C52" s="68"/>
      <c r="D52" s="59"/>
      <c r="E52" s="74" t="s">
        <v>214</v>
      </c>
      <c r="F52" s="73" t="b">
        <v>0</v>
      </c>
      <c r="G52" s="95"/>
      <c r="H52" s="94"/>
      <c r="I52" s="96"/>
      <c r="J52" s="93"/>
      <c r="K52" s="93"/>
      <c r="L52" s="94"/>
      <c r="M52" s="94"/>
      <c r="N52" s="30" t="str">
        <f>+IF(
COUNTIF(F53:$F$53,TRUE)=1," e ",
IF(
COUNTIF(F53:$F$53,TRUE)&gt;1,", ",""))</f>
        <v xml:space="preserve"> e </v>
      </c>
    </row>
    <row r="53" spans="1:14" s="10" customFormat="1" ht="35.1" hidden="1" customHeight="1" outlineLevel="1" thickTop="1" thickBot="1" x14ac:dyDescent="0.3">
      <c r="A53" s="68"/>
      <c r="B53" s="68"/>
      <c r="C53" s="172" t="s">
        <v>207</v>
      </c>
      <c r="D53" s="172"/>
      <c r="E53" s="134" t="s">
        <v>205</v>
      </c>
      <c r="F53" s="69" t="b">
        <f>+IF(E53&gt;"",TRUE,FALSE)</f>
        <v>1</v>
      </c>
      <c r="G53" s="95"/>
      <c r="H53" s="94"/>
      <c r="I53" s="96"/>
      <c r="J53" s="93"/>
      <c r="K53" s="93"/>
      <c r="L53" s="94"/>
      <c r="M53" s="94"/>
      <c r="N53" s="30"/>
    </row>
    <row r="54" spans="1:14" s="10" customFormat="1" ht="35.1" customHeight="1" collapsed="1" thickTop="1" thickBot="1" x14ac:dyDescent="0.3">
      <c r="A54" s="68"/>
      <c r="B54" s="59"/>
      <c r="C54" s="68"/>
      <c r="D54" s="59"/>
      <c r="E54" s="76" t="s">
        <v>215</v>
      </c>
      <c r="F54" s="73" t="b">
        <f>+COUNTIF(F55:F61,TRUE)&gt;0</f>
        <v>1</v>
      </c>
      <c r="G54" s="95"/>
      <c r="H54" s="94"/>
      <c r="I54" s="174" t="str" cm="1">
        <f t="array" ref="I54">+IF(F54,E54&amp;
IF(F55,E55&amp;N55,"")&amp;
IF(F56,E56&amp;N56,"")&amp;
IF(F57,E57&amp;N57,"")&amp;
IF(F58,E58&amp;N58,"")&amp;
IF(F59,E59&amp;N59,"")&amp;
IF(F60,E60&amp;N60,"")&amp;
IF(F61,E61&amp;N61,"")&amp;
pu&amp;AC,"")</f>
        <v xml:space="preserve">Sul lato delle iniziative dei creditori si segnalano altro (specificare). 
</v>
      </c>
      <c r="J54" s="174"/>
      <c r="K54" s="174"/>
      <c r="L54" s="94"/>
      <c r="M54" s="94"/>
      <c r="N54" s="30"/>
    </row>
    <row r="55" spans="1:14" s="10" customFormat="1" ht="35.1" hidden="1" customHeight="1" outlineLevel="1" thickTop="1" thickBot="1" x14ac:dyDescent="0.3">
      <c r="A55" s="68"/>
      <c r="B55" s="59"/>
      <c r="C55" s="68"/>
      <c r="D55" s="59"/>
      <c r="E55" s="74" t="s">
        <v>227</v>
      </c>
      <c r="F55" s="73" t="b">
        <v>0</v>
      </c>
      <c r="G55" s="95"/>
      <c r="H55" s="94"/>
      <c r="I55" s="174"/>
      <c r="J55" s="174"/>
      <c r="K55" s="174"/>
      <c r="L55" s="94"/>
      <c r="M55" s="94"/>
      <c r="N55" s="30" t="str">
        <f>+IF(
COUNTIF(F56:$F$61,TRUE)=1," e ",
IF(
COUNTIF(F56:$F$61,TRUE)&gt;1,", ",""))</f>
        <v xml:space="preserve"> e </v>
      </c>
    </row>
    <row r="56" spans="1:14" s="10" customFormat="1" ht="35.1" hidden="1" customHeight="1" outlineLevel="1" thickTop="1" thickBot="1" x14ac:dyDescent="0.3">
      <c r="A56" s="68"/>
      <c r="B56" s="59"/>
      <c r="C56" s="68"/>
      <c r="D56" s="59"/>
      <c r="E56" s="74" t="s">
        <v>216</v>
      </c>
      <c r="F56" s="73" t="b">
        <v>0</v>
      </c>
      <c r="G56" s="95"/>
      <c r="H56" s="94"/>
      <c r="I56" s="174"/>
      <c r="J56" s="174"/>
      <c r="K56" s="174"/>
      <c r="L56" s="94"/>
      <c r="M56" s="94"/>
      <c r="N56" s="30" t="str">
        <f>+IF(
COUNTIF(F57:$F$61,TRUE)=1," e ",
IF(
COUNTIF(F57:$F$61,TRUE)&gt;1,", ",""))</f>
        <v xml:space="preserve"> e </v>
      </c>
    </row>
    <row r="57" spans="1:14" s="10" customFormat="1" ht="35.1" hidden="1" customHeight="1" outlineLevel="1" thickTop="1" thickBot="1" x14ac:dyDescent="0.3">
      <c r="A57" s="68"/>
      <c r="B57" s="59"/>
      <c r="C57" s="68"/>
      <c r="D57" s="59"/>
      <c r="E57" s="74" t="s">
        <v>217</v>
      </c>
      <c r="F57" s="73" t="b">
        <v>0</v>
      </c>
      <c r="G57" s="95"/>
      <c r="H57" s="94"/>
      <c r="I57" s="174"/>
      <c r="J57" s="174"/>
      <c r="K57" s="174"/>
      <c r="L57" s="94"/>
      <c r="M57" s="94"/>
      <c r="N57" s="30" t="str">
        <f>+IF(
COUNTIF(F58:$F$61,TRUE)=1," e ",
IF(
COUNTIF(F58:$F$61,TRUE)&gt;1,", ",""))</f>
        <v xml:space="preserve"> e </v>
      </c>
    </row>
    <row r="58" spans="1:14" s="10" customFormat="1" ht="35.1" hidden="1" customHeight="1" outlineLevel="1" thickTop="1" thickBot="1" x14ac:dyDescent="0.3">
      <c r="A58" s="68"/>
      <c r="B58" s="59"/>
      <c r="C58" s="68"/>
      <c r="D58" s="59"/>
      <c r="E58" s="74" t="s">
        <v>218</v>
      </c>
      <c r="F58" s="73" t="b">
        <v>0</v>
      </c>
      <c r="G58" s="95"/>
      <c r="H58" s="94"/>
      <c r="I58" s="174"/>
      <c r="J58" s="174"/>
      <c r="K58" s="174"/>
      <c r="L58" s="94"/>
      <c r="M58" s="94"/>
      <c r="N58" s="30" t="str">
        <f>+IF(
COUNTIF(F59:$F$61,TRUE)=1," e ",
IF(
COUNTIF(F59:$F$61,TRUE)&gt;1,", ",""))</f>
        <v xml:space="preserve"> e </v>
      </c>
    </row>
    <row r="59" spans="1:14" s="10" customFormat="1" ht="35.1" hidden="1" customHeight="1" outlineLevel="1" thickTop="1" thickBot="1" x14ac:dyDescent="0.3">
      <c r="A59" s="68"/>
      <c r="B59" s="59"/>
      <c r="C59" s="68"/>
      <c r="D59" s="59"/>
      <c r="E59" s="74" t="s">
        <v>219</v>
      </c>
      <c r="F59" s="73" t="b">
        <v>0</v>
      </c>
      <c r="G59" s="95"/>
      <c r="H59" s="94"/>
      <c r="I59" s="174"/>
      <c r="J59" s="174"/>
      <c r="K59" s="174"/>
      <c r="L59" s="94"/>
      <c r="M59" s="94"/>
      <c r="N59" s="30" t="str">
        <f>+IF(
COUNTIF(F60:$F$61,TRUE)=1," e ",
IF(
COUNTIF(F60:$F$61,TRUE)&gt;1,", ",""))</f>
        <v xml:space="preserve"> e </v>
      </c>
    </row>
    <row r="60" spans="1:14" s="10" customFormat="1" ht="35.1" hidden="1" customHeight="1" outlineLevel="1" thickTop="1" thickBot="1" x14ac:dyDescent="0.3">
      <c r="A60" s="68"/>
      <c r="B60" s="59"/>
      <c r="C60" s="68"/>
      <c r="D60" s="59"/>
      <c r="E60" s="74" t="s">
        <v>220</v>
      </c>
      <c r="F60" s="73" t="b">
        <v>0</v>
      </c>
      <c r="G60" s="95"/>
      <c r="H60" s="94"/>
      <c r="I60" s="96"/>
      <c r="J60" s="93"/>
      <c r="K60" s="93"/>
      <c r="L60" s="94"/>
      <c r="M60" s="94"/>
      <c r="N60" s="30" t="str">
        <f>+IF(
COUNTIF(F61:$F$61,TRUE)=1," e ",
IF(
COUNTIF(F61:$F$61,TRUE)&gt;1,", ",""))</f>
        <v xml:space="preserve"> e </v>
      </c>
    </row>
    <row r="61" spans="1:14" s="10" customFormat="1" ht="35.1" hidden="1" customHeight="1" outlineLevel="1" thickTop="1" thickBot="1" x14ac:dyDescent="0.3">
      <c r="A61" s="68"/>
      <c r="B61" s="68"/>
      <c r="C61" s="172" t="s">
        <v>223</v>
      </c>
      <c r="D61" s="172"/>
      <c r="E61" s="134" t="s">
        <v>205</v>
      </c>
      <c r="F61" s="69" t="b">
        <f>+IF(E61&gt;"",TRUE,FALSE)</f>
        <v>1</v>
      </c>
      <c r="G61" s="95"/>
      <c r="H61" s="94"/>
      <c r="I61" s="96"/>
      <c r="J61" s="93"/>
      <c r="K61" s="93"/>
      <c r="L61" s="94"/>
      <c r="M61" s="94"/>
      <c r="N61" s="30"/>
    </row>
    <row r="62" spans="1:14" s="10" customFormat="1" ht="35.1" customHeight="1" collapsed="1" thickTop="1" thickBot="1" x14ac:dyDescent="0.3">
      <c r="A62" s="68"/>
      <c r="B62" s="61" t="s">
        <v>78</v>
      </c>
      <c r="C62" s="68"/>
      <c r="D62" s="59"/>
      <c r="E62" s="70" t="s">
        <v>68</v>
      </c>
      <c r="F62" s="73" t="b">
        <f>+COUNTIF(F63:F68,TRUE)&gt;0</f>
        <v>1</v>
      </c>
      <c r="G62" s="95"/>
      <c r="H62" s="94"/>
      <c r="I62" s="174" t="str" cm="1">
        <f t="array" ref="I62">+IF(F62,"Tenuto conto delle manifestazioni, le cause sono:"&amp;s&amp;
IF(F63,E63&amp;N63,"")&amp;
IF(F64,E64&amp;N64,"")&amp;
IF(F65,E65&amp;N65,"")&amp;
IF(F66,E66&amp;N66,"")&amp;
IF(F67,E67&amp;N67,"")&amp;
IF(F69,CONCATENATE(AC,E69&amp;N69,IF(F70,E70&amp;N70,"")),""),"")</f>
        <v>Tenuto conto delle manifestazioni, le cause sono: altro (specificare).</v>
      </c>
      <c r="J62" s="174"/>
      <c r="K62" s="174"/>
      <c r="L62" s="94"/>
      <c r="M62" s="94"/>
      <c r="N62" s="30"/>
    </row>
    <row r="63" spans="1:14" s="10" customFormat="1" ht="35.1" customHeight="1" thickTop="1" thickBot="1" x14ac:dyDescent="0.3">
      <c r="A63" s="68"/>
      <c r="B63" s="68"/>
      <c r="C63" s="61"/>
      <c r="D63" s="59"/>
      <c r="E63" s="74" t="s">
        <v>286</v>
      </c>
      <c r="F63" s="73" t="b">
        <v>0</v>
      </c>
      <c r="G63" s="95"/>
      <c r="H63" s="94"/>
      <c r="I63" s="174"/>
      <c r="J63" s="174"/>
      <c r="K63" s="174"/>
      <c r="L63" s="94"/>
      <c r="M63" s="94"/>
      <c r="N63" s="30" t="str">
        <f>+IF(
COUNTIF(F64:$F$68,TRUE)=1," e ",
IF(
COUNTIF(F64:$F$68,TRUE)&gt;1,", ","."))</f>
        <v xml:space="preserve"> e </v>
      </c>
    </row>
    <row r="64" spans="1:14" s="10" customFormat="1" ht="35.1" customHeight="1" thickTop="1" thickBot="1" x14ac:dyDescent="0.3">
      <c r="A64" s="68"/>
      <c r="B64" s="68"/>
      <c r="C64" s="61"/>
      <c r="D64" s="59"/>
      <c r="E64" s="74" t="s">
        <v>287</v>
      </c>
      <c r="F64" s="73" t="b">
        <v>0</v>
      </c>
      <c r="G64" s="95"/>
      <c r="H64" s="94"/>
      <c r="I64" s="174"/>
      <c r="J64" s="174"/>
      <c r="K64" s="174"/>
      <c r="L64" s="94"/>
      <c r="M64" s="94"/>
      <c r="N64" s="30" t="str">
        <f>+IF(
COUNTIF(F65:$F$68,TRUE)=1," e ",
IF(
COUNTIF(F65:$F$68,TRUE)&gt;1,", ","."))</f>
        <v xml:space="preserve"> e </v>
      </c>
    </row>
    <row r="65" spans="1:14" s="10" customFormat="1" ht="35.1" customHeight="1" thickTop="1" thickBot="1" x14ac:dyDescent="0.3">
      <c r="A65" s="68"/>
      <c r="B65" s="68"/>
      <c r="C65" s="61"/>
      <c r="D65" s="59"/>
      <c r="E65" s="74" t="s">
        <v>229</v>
      </c>
      <c r="F65" s="73" t="b">
        <v>0</v>
      </c>
      <c r="G65" s="95"/>
      <c r="H65" s="94"/>
      <c r="I65" s="174"/>
      <c r="J65" s="174"/>
      <c r="K65" s="174"/>
      <c r="L65" s="94"/>
      <c r="M65" s="94"/>
      <c r="N65" s="30" t="str">
        <f>+IF(
COUNTIF(F66:$F$68,TRUE)=1," e ",
IF(
COUNTIF(F66:$F$68,TRUE)&gt;1,", ","."))</f>
        <v xml:space="preserve"> e </v>
      </c>
    </row>
    <row r="66" spans="1:14" s="10" customFormat="1" ht="35.1" customHeight="1" thickTop="1" thickBot="1" x14ac:dyDescent="0.3">
      <c r="A66" s="68"/>
      <c r="B66" s="68"/>
      <c r="C66" s="61"/>
      <c r="D66" s="59"/>
      <c r="E66" s="74" t="s">
        <v>230</v>
      </c>
      <c r="F66" s="73" t="b">
        <v>0</v>
      </c>
      <c r="G66" s="95"/>
      <c r="H66" s="94"/>
      <c r="I66" s="174"/>
      <c r="J66" s="174"/>
      <c r="K66" s="174"/>
      <c r="L66" s="94"/>
      <c r="M66" s="94"/>
      <c r="N66" s="30" t="str">
        <f>+IF(
COUNTIF(F67:$F$68,TRUE)=1," e ",
IF(
COUNTIF(F67:$F$68,TRUE)&gt;1,", ","."))</f>
        <v xml:space="preserve"> e </v>
      </c>
    </row>
    <row r="67" spans="1:14" s="10" customFormat="1" ht="35.1" customHeight="1" thickTop="1" thickBot="1" x14ac:dyDescent="0.3">
      <c r="A67" s="68"/>
      <c r="B67" s="68"/>
      <c r="C67" s="172" t="s">
        <v>231</v>
      </c>
      <c r="D67" s="172"/>
      <c r="E67" s="160" t="s">
        <v>205</v>
      </c>
      <c r="F67" s="69" t="b">
        <f>+IF(E67&gt;"",TRUE,FALSE)</f>
        <v>1</v>
      </c>
      <c r="G67" s="95"/>
      <c r="H67" s="94"/>
      <c r="I67" s="174"/>
      <c r="J67" s="174"/>
      <c r="K67" s="174"/>
      <c r="L67" s="94"/>
      <c r="M67" s="94"/>
      <c r="N67" s="30" t="str">
        <f>+IF(
COUNTIF(F68:$F$68,TRUE)=1," e ",
IF(
COUNTIF(F68:$F$68,TRUE)&gt;1,", ","."))</f>
        <v>.</v>
      </c>
    </row>
    <row r="68" spans="1:14" s="10" customFormat="1" ht="35.1" customHeight="1" thickTop="1" x14ac:dyDescent="0.25">
      <c r="A68" s="68"/>
      <c r="B68" s="78"/>
      <c r="C68" s="78"/>
      <c r="D68" s="78"/>
      <c r="E68" s="78"/>
      <c r="F68" s="71"/>
      <c r="G68" s="50"/>
      <c r="H68" s="94"/>
      <c r="I68" s="174"/>
      <c r="J68" s="174"/>
      <c r="K68" s="174"/>
      <c r="L68" s="94"/>
      <c r="M68" s="94"/>
      <c r="N68" s="30"/>
    </row>
    <row r="69" spans="1:14" s="10" customFormat="1" ht="35.1" customHeight="1" thickBot="1" x14ac:dyDescent="0.3">
      <c r="A69" s="68"/>
      <c r="B69" s="61" t="s">
        <v>79</v>
      </c>
      <c r="C69" s="68"/>
      <c r="D69" s="59"/>
      <c r="E69" s="70" t="s">
        <v>414</v>
      </c>
      <c r="F69" s="69" t="b">
        <v>0</v>
      </c>
      <c r="G69" s="91"/>
      <c r="H69" s="94"/>
      <c r="I69" s="174"/>
      <c r="J69" s="174"/>
      <c r="K69" s="174"/>
      <c r="L69" s="94"/>
      <c r="M69" s="94"/>
      <c r="N69" s="30" t="str">
        <f>+IF(
COUNTIF(F70:F$70,TRUE)=1," e ",
IF(
COUNTIF(F70:F$70,TRUE)&gt;1,", ",""))</f>
        <v xml:space="preserve"> e </v>
      </c>
    </row>
    <row r="70" spans="1:14" s="10" customFormat="1" ht="35.1" customHeight="1" thickTop="1" thickBot="1" x14ac:dyDescent="0.3">
      <c r="A70" s="68"/>
      <c r="B70" s="68"/>
      <c r="C70" s="172" t="s">
        <v>221</v>
      </c>
      <c r="D70" s="172"/>
      <c r="E70" s="160" t="s">
        <v>205</v>
      </c>
      <c r="F70" s="69" t="b">
        <f>+IF(E70&gt;"",TRUE,FALSE)</f>
        <v>1</v>
      </c>
      <c r="G70" s="95"/>
      <c r="H70" s="94"/>
      <c r="I70" s="96"/>
      <c r="J70" s="93"/>
      <c r="K70" s="93"/>
      <c r="L70" s="94"/>
      <c r="M70" s="94"/>
      <c r="N70" s="30"/>
    </row>
    <row r="71" spans="1:14" s="10" customFormat="1" ht="35.1" customHeight="1" thickTop="1" x14ac:dyDescent="0.25">
      <c r="A71" s="68"/>
      <c r="B71" s="78"/>
      <c r="C71" s="78"/>
      <c r="D71" s="78"/>
      <c r="E71" s="78"/>
      <c r="F71" s="79"/>
      <c r="G71" s="97"/>
      <c r="H71" s="67" t="s">
        <v>111</v>
      </c>
      <c r="I71" s="67" t="s">
        <v>112</v>
      </c>
      <c r="J71" s="67" t="s">
        <v>121</v>
      </c>
      <c r="K71" s="67" t="s">
        <v>113</v>
      </c>
      <c r="L71" s="98" t="s">
        <v>174</v>
      </c>
      <c r="M71" s="98" t="s">
        <v>106</v>
      </c>
    </row>
    <row r="72" spans="1:14" s="10" customFormat="1" ht="35.1" customHeight="1" thickBot="1" x14ac:dyDescent="0.3">
      <c r="A72" s="68"/>
      <c r="B72" s="61" t="s">
        <v>17</v>
      </c>
      <c r="C72" s="68"/>
      <c r="D72" s="59"/>
      <c r="E72" s="70" t="s">
        <v>80</v>
      </c>
      <c r="F72" s="69" t="b">
        <v>0</v>
      </c>
      <c r="G72" s="91"/>
      <c r="H72" s="65" t="s">
        <v>326</v>
      </c>
      <c r="I72" s="65" t="s">
        <v>327</v>
      </c>
      <c r="J72" s="65" t="s">
        <v>123</v>
      </c>
      <c r="K72" s="65" t="s">
        <v>232</v>
      </c>
      <c r="L72" s="65" t="str">
        <f ca="1">+OFFSET(F72,0,IF(F72,2,3))</f>
        <v>L’organo di controllo ed il revisore, quando in carica, non ritengono che il quadro fornito dall’imprenditore sia completo e adeguato.</v>
      </c>
      <c r="M72" s="65" t="str">
        <f ca="1">+OFFSET(F72,0,IF(F72,4,5))</f>
        <v>Indicare le ragioni</v>
      </c>
    </row>
    <row r="73" spans="1:14" s="10" customFormat="1" ht="35.1" customHeight="1" thickTop="1" thickBot="1" x14ac:dyDescent="0.3">
      <c r="A73" s="68"/>
      <c r="B73" s="61" t="s">
        <v>81</v>
      </c>
      <c r="C73" s="68"/>
      <c r="D73" s="59"/>
      <c r="E73" s="75" t="s">
        <v>178</v>
      </c>
      <c r="F73" s="69" t="b">
        <v>0</v>
      </c>
      <c r="G73" s="91"/>
      <c r="H73" s="65" t="s">
        <v>328</v>
      </c>
      <c r="I73" s="65" t="s">
        <v>433</v>
      </c>
      <c r="J73" s="65" t="s">
        <v>233</v>
      </c>
      <c r="K73" s="65" t="s">
        <v>434</v>
      </c>
      <c r="L73" s="65" t="str">
        <f ca="1">+OFFSET(F73,0,IF(F73,2,3))</f>
        <v>L'impresa non ha ancora individuato le strategie di intervento e le iniziative industriali che intende adottare.</v>
      </c>
      <c r="M73" s="65" t="str">
        <f ca="1">+OFFSET(F73,0,IF(F73,4,5))</f>
        <v>Indicare le difficoltà che non le consentono la formulazione di una strategia e i tempi previsti.</v>
      </c>
    </row>
    <row r="74" spans="1:14" s="10" customFormat="1" ht="35.1" customHeight="1" thickTop="1" thickBot="1" x14ac:dyDescent="0.3">
      <c r="A74" s="68"/>
      <c r="B74" s="61" t="s">
        <v>82</v>
      </c>
      <c r="C74" s="68"/>
      <c r="D74" s="59"/>
      <c r="E74" s="75" t="s">
        <v>235</v>
      </c>
      <c r="F74" s="69" t="b">
        <v>0</v>
      </c>
      <c r="G74" s="91"/>
      <c r="H74" s="65" t="s">
        <v>329</v>
      </c>
      <c r="I74" s="65" t="s">
        <v>330</v>
      </c>
      <c r="J74" s="65" t="s">
        <v>236</v>
      </c>
      <c r="K74" s="65" t="s">
        <v>435</v>
      </c>
      <c r="L74" s="65" t="str">
        <f ca="1">+OFFSET(F74,0,IF(F74,2,3))</f>
        <v>Non esistono strategie di successo adottate dalla concorrenza.</v>
      </c>
      <c r="M74" s="65" t="str">
        <f ca="1">+OFFSET(F74,0,IF(F74,4,5))</f>
        <v>Indicare le ragioni di tale affermazione</v>
      </c>
    </row>
    <row r="75" spans="1:14" s="10" customFormat="1" ht="35.1" customHeight="1" thickTop="1" thickBot="1" x14ac:dyDescent="0.3">
      <c r="A75" s="68"/>
      <c r="B75" s="61" t="s">
        <v>83</v>
      </c>
      <c r="C75" s="68"/>
      <c r="D75" s="59"/>
      <c r="E75" s="75" t="s">
        <v>179</v>
      </c>
      <c r="F75" s="69" t="b">
        <v>0</v>
      </c>
      <c r="G75" s="91"/>
      <c r="H75" s="65" t="s">
        <v>331</v>
      </c>
      <c r="I75" s="65" t="s">
        <v>332</v>
      </c>
      <c r="J75" s="65" t="s">
        <v>436</v>
      </c>
      <c r="K75" s="65" t="s">
        <v>237</v>
      </c>
      <c r="L75" s="65" t="str">
        <f ca="1">+OFFSET(F75,0,IF(F75,2,3))</f>
        <v>Tali strategie non sono adottabili dall'impresa.</v>
      </c>
      <c r="M75" s="65" t="str">
        <f ca="1">+OFFSET(F75,0,IF(F75,4,5))</f>
        <v>Indicare le motivazioni</v>
      </c>
    </row>
    <row r="76" spans="1:14" s="10" customFormat="1" ht="35.1" customHeight="1" thickTop="1" thickBot="1" x14ac:dyDescent="0.3">
      <c r="A76" s="68"/>
      <c r="B76" s="61" t="s">
        <v>18</v>
      </c>
      <c r="C76" s="68"/>
      <c r="D76" s="59"/>
      <c r="E76" s="75" t="s">
        <v>62</v>
      </c>
      <c r="F76" s="69" t="b">
        <v>0</v>
      </c>
      <c r="G76" s="91"/>
      <c r="H76" s="65" t="s">
        <v>333</v>
      </c>
      <c r="I76" s="65" t="s">
        <v>334</v>
      </c>
      <c r="J76" s="65" t="s">
        <v>239</v>
      </c>
      <c r="K76" s="65" t="s">
        <v>437</v>
      </c>
      <c r="L76" s="65" t="str">
        <f ca="1">+OFFSET(F76,0,IF(F76,2,3))</f>
        <v>L’impresa non dispone delle capacità e delle competenze manageriali per realizzare le iniziative industriali.</v>
      </c>
      <c r="M76" s="65" t="str">
        <f ca="1">+OFFSET(F76,0,IF(F76,4,5))</f>
        <v>Indicare quali lacune organizzative esistono e come l'impresa intende colmarle</v>
      </c>
    </row>
    <row r="77" spans="1:14" s="10" customFormat="1" ht="35.1" customHeight="1" thickTop="1" thickBot="1" x14ac:dyDescent="0.3">
      <c r="A77" s="68"/>
      <c r="B77" s="61" t="s">
        <v>86</v>
      </c>
      <c r="C77" s="68"/>
      <c r="D77" s="59"/>
      <c r="E77" s="75" t="s">
        <v>84</v>
      </c>
      <c r="F77" s="80" t="b">
        <f>+IF(E78&gt;"",TRUE,FALSE)</f>
        <v>1</v>
      </c>
      <c r="G77" s="95"/>
      <c r="H77" s="65"/>
      <c r="I77" s="173" t="str">
        <f>+IF(F77,"Per quanto concerne i tempi e gli effetti in termini di ricavi, di costi e di investimenti delle iniziative da adottare"&amp;s&amp;E78&amp;pu,"")</f>
        <v xml:space="preserve">Per quanto concerne i tempi e gli effetti in termini di ricavi, di costi e di investimenti delle iniziative da adottare Indicare i tempi e i relativi effetti in termini di ricavi, di costi e di invesgtimenti delle iniziative da adottare. </v>
      </c>
      <c r="J77" s="173"/>
      <c r="K77" s="173"/>
      <c r="L77" s="92"/>
      <c r="M77" s="92"/>
    </row>
    <row r="78" spans="1:14" s="10" customFormat="1" ht="35.1" customHeight="1" thickTop="1" thickBot="1" x14ac:dyDescent="0.3">
      <c r="A78" s="68"/>
      <c r="B78" s="68"/>
      <c r="C78" s="172" t="s">
        <v>438</v>
      </c>
      <c r="D78" s="172"/>
      <c r="E78" s="160" t="s">
        <v>415</v>
      </c>
      <c r="F78" s="69" t="b">
        <f>+IF(E78&gt;"",TRUE,FALSE)</f>
        <v>1</v>
      </c>
      <c r="G78" s="95"/>
      <c r="H78" s="65"/>
      <c r="I78" s="173"/>
      <c r="J78" s="173"/>
      <c r="K78" s="173"/>
      <c r="L78" s="92"/>
      <c r="M78" s="92"/>
    </row>
    <row r="79" spans="1:14" s="10" customFormat="1" ht="35.1" customHeight="1" thickTop="1" thickBot="1" x14ac:dyDescent="0.3">
      <c r="A79" s="68"/>
      <c r="B79" s="61" t="s">
        <v>87</v>
      </c>
      <c r="C79" s="68"/>
      <c r="D79" s="59"/>
      <c r="E79" s="75" t="s">
        <v>85</v>
      </c>
      <c r="F79" s="80" t="b">
        <f>+IF(E80&gt;"",TRUE,FALSE)</f>
        <v>1</v>
      </c>
      <c r="G79" s="95"/>
      <c r="H79" s="65"/>
      <c r="I79" s="173" t="str">
        <f>+IF(F79,"Le relative funzioni aziendali responsabili sono"&amp;s&amp;E80&amp;pu,"")</f>
        <v xml:space="preserve">Le relative funzioni aziendali responsabili sono Indicare quali sono le relative funzioni aziendali responsabili. </v>
      </c>
      <c r="J79" s="173"/>
      <c r="K79" s="173"/>
      <c r="L79" s="92"/>
      <c r="M79" s="92"/>
    </row>
    <row r="80" spans="1:14" s="10" customFormat="1" ht="35.1" customHeight="1" thickTop="1" thickBot="1" x14ac:dyDescent="0.3">
      <c r="A80" s="68"/>
      <c r="B80" s="68"/>
      <c r="C80" s="172" t="s">
        <v>439</v>
      </c>
      <c r="D80" s="172"/>
      <c r="E80" s="160" t="s">
        <v>416</v>
      </c>
      <c r="F80" s="69" t="b">
        <f>+IF(E80&gt;"",TRUE,FALSE)</f>
        <v>1</v>
      </c>
      <c r="G80" s="95"/>
      <c r="H80" s="65"/>
      <c r="I80" s="173"/>
      <c r="J80" s="173"/>
      <c r="K80" s="173"/>
      <c r="L80" s="92"/>
      <c r="M80" s="92"/>
    </row>
    <row r="81" spans="1:14" s="10" customFormat="1" ht="35.1" customHeight="1" thickTop="1" thickBot="1" x14ac:dyDescent="0.3">
      <c r="A81" s="68"/>
      <c r="B81" s="81" t="s">
        <v>19</v>
      </c>
      <c r="C81" s="68"/>
      <c r="D81" s="82"/>
      <c r="E81" s="83" t="s">
        <v>240</v>
      </c>
      <c r="F81" s="69" t="b">
        <v>0</v>
      </c>
      <c r="G81" s="91"/>
      <c r="H81" s="65" t="s">
        <v>417</v>
      </c>
      <c r="I81" s="65" t="s">
        <v>418</v>
      </c>
      <c r="J81" s="65" t="s">
        <v>241</v>
      </c>
      <c r="K81" s="65" t="s">
        <v>232</v>
      </c>
      <c r="L81" s="65" t="str">
        <f t="shared" ref="L81:L87" ca="1" si="0">+OFFSET(F81,0,IF(F81,2,3))</f>
        <v>Non sono prospettabili iniziative alternative nel caso in cui le iniziative dovessero dimostrarsi inefficaci e si manifestassero scostamenti tra gli obiettivi pianificati e quelli raggiunti.</v>
      </c>
      <c r="M81" s="65" t="str">
        <f t="shared" ref="M81:M87" ca="1" si="1">+OFFSET(F81,0,IF(F81,4,5))</f>
        <v>Indicare le ragioni</v>
      </c>
    </row>
    <row r="82" spans="1:14" s="10" customFormat="1" ht="35.1" customHeight="1" thickTop="1" thickBot="1" x14ac:dyDescent="0.3">
      <c r="A82" s="68"/>
      <c r="B82" s="61" t="s">
        <v>88</v>
      </c>
      <c r="C82" s="68"/>
      <c r="D82" s="59"/>
      <c r="E82" s="75" t="s">
        <v>92</v>
      </c>
      <c r="F82" s="69" t="b">
        <v>0</v>
      </c>
      <c r="G82" s="91"/>
      <c r="H82" s="65" t="s">
        <v>335</v>
      </c>
      <c r="I82" s="65" t="s">
        <v>440</v>
      </c>
      <c r="J82" s="65" t="s">
        <v>442</v>
      </c>
      <c r="K82" s="65" t="s">
        <v>441</v>
      </c>
      <c r="L82" s="65" t="str">
        <f t="shared" ca="1" si="0"/>
        <v xml:space="preserve"> Non sono mai stati predisposti piani aziendali.</v>
      </c>
      <c r="M82" s="65" t="str">
        <f t="shared" ca="1" si="1"/>
        <v>Indicare le motivazioni e le eventuali difficoltà e limiti di prima redazione</v>
      </c>
    </row>
    <row r="83" spans="1:14" s="10" customFormat="1" ht="35.1" customHeight="1" thickTop="1" thickBot="1" x14ac:dyDescent="0.3">
      <c r="A83" s="68"/>
      <c r="B83" s="61" t="s">
        <v>89</v>
      </c>
      <c r="C83" s="68"/>
      <c r="D83" s="59"/>
      <c r="E83" s="70" t="s">
        <v>91</v>
      </c>
      <c r="F83" s="69" t="b">
        <v>0</v>
      </c>
      <c r="G83" s="91"/>
      <c r="H83" s="65" t="s">
        <v>234</v>
      </c>
      <c r="I83" s="65" t="s">
        <v>242</v>
      </c>
      <c r="J83" s="65"/>
      <c r="K83" s="65"/>
      <c r="L83" s="65" t="str">
        <f t="shared" ca="1" si="0"/>
        <v>Il piano non è coerente con i piani redatti in precedenza</v>
      </c>
      <c r="M83" s="65">
        <f t="shared" ca="1" si="1"/>
        <v>0</v>
      </c>
    </row>
    <row r="84" spans="1:14" s="10" customFormat="1" ht="35.1" customHeight="1" thickTop="1" x14ac:dyDescent="0.25">
      <c r="A84" s="68"/>
      <c r="B84" s="61" t="s">
        <v>90</v>
      </c>
      <c r="C84" s="68"/>
      <c r="D84" s="59"/>
      <c r="E84" s="70" t="s">
        <v>238</v>
      </c>
      <c r="F84" s="84" t="b">
        <v>0</v>
      </c>
      <c r="G84" s="49"/>
      <c r="H84" s="65" t="s">
        <v>342</v>
      </c>
      <c r="I84" s="65" t="s">
        <v>343</v>
      </c>
      <c r="J84" s="65" t="s">
        <v>243</v>
      </c>
      <c r="K84" s="65" t="s">
        <v>123</v>
      </c>
      <c r="L84" s="65" t="str">
        <f t="shared" ca="1" si="0"/>
        <v>e non vi sono differenze significative.</v>
      </c>
      <c r="M84" s="65" t="str">
        <f t="shared" ca="1" si="1"/>
        <v>Aggiungere eventuali commenti</v>
      </c>
    </row>
    <row r="85" spans="1:14" s="10" customFormat="1" ht="35.1" customHeight="1" thickBot="1" x14ac:dyDescent="0.3">
      <c r="A85" s="68"/>
      <c r="B85" s="61" t="s">
        <v>93</v>
      </c>
      <c r="C85" s="68"/>
      <c r="D85" s="59"/>
      <c r="E85" s="75" t="s">
        <v>244</v>
      </c>
      <c r="F85" s="69" t="b">
        <v>0</v>
      </c>
      <c r="G85" s="91"/>
      <c r="H85" s="65" t="s">
        <v>336</v>
      </c>
      <c r="I85" s="65" t="s">
        <v>337</v>
      </c>
      <c r="J85" s="65" t="s">
        <v>232</v>
      </c>
      <c r="K85" s="65" t="s">
        <v>232</v>
      </c>
      <c r="L85" s="65" t="str">
        <f t="shared" ca="1" si="0"/>
        <v>Il piano non appare credibile.</v>
      </c>
      <c r="M85" s="65" t="str">
        <f t="shared" ca="1" si="1"/>
        <v>Indicare le ragioni</v>
      </c>
    </row>
    <row r="86" spans="1:14" s="10" customFormat="1" ht="35.1" customHeight="1" thickTop="1" thickBot="1" x14ac:dyDescent="0.3">
      <c r="A86" s="68"/>
      <c r="B86" s="61" t="s">
        <v>94</v>
      </c>
      <c r="C86" s="68"/>
      <c r="D86" s="59"/>
      <c r="E86" s="75" t="s">
        <v>245</v>
      </c>
      <c r="F86" s="69" t="b">
        <v>0</v>
      </c>
      <c r="G86" s="91"/>
      <c r="H86" s="65" t="s">
        <v>338</v>
      </c>
      <c r="I86" s="65" t="s">
        <v>339</v>
      </c>
      <c r="J86" s="65" t="s">
        <v>123</v>
      </c>
      <c r="K86" s="65" t="s">
        <v>237</v>
      </c>
      <c r="L86" s="65" t="str">
        <f t="shared" ca="1" si="0"/>
        <v>Non è fondato su intenzioni strategiche chiare e razionali, condivisibili da parte di un lettore informato quale è l’esperto, coerenti con la situazione di fatto dell’impresa e del contesto in cui opera.</v>
      </c>
      <c r="M86" s="65" t="str">
        <f t="shared" ca="1" si="1"/>
        <v>Indicare le motivazioni</v>
      </c>
    </row>
    <row r="87" spans="1:14" s="10" customFormat="1" ht="35.1" customHeight="1" thickTop="1" thickBot="1" x14ac:dyDescent="0.3">
      <c r="A87" s="68"/>
      <c r="B87" s="61" t="s">
        <v>246</v>
      </c>
      <c r="C87" s="68"/>
      <c r="D87" s="59"/>
      <c r="E87" s="75" t="s">
        <v>180</v>
      </c>
      <c r="F87" s="69" t="b">
        <v>0</v>
      </c>
      <c r="G87" s="91"/>
      <c r="H87" s="65" t="s">
        <v>340</v>
      </c>
      <c r="I87" s="65" t="s">
        <v>341</v>
      </c>
      <c r="J87" s="65" t="s">
        <v>232</v>
      </c>
      <c r="K87" s="65" t="s">
        <v>237</v>
      </c>
      <c r="L87" s="65" t="str">
        <f t="shared" ca="1" si="0"/>
        <v>Le strategie di intervento e le iniziative industriali individuate dall’imprenditore non appaiono appropriate per il superamento delle cause della crisi.</v>
      </c>
      <c r="M87" s="65" t="str">
        <f t="shared" ca="1" si="1"/>
        <v>Indicare le motivazioni</v>
      </c>
    </row>
    <row r="88" spans="1:14" s="10" customFormat="1" ht="35.1" customHeight="1" thickTop="1" x14ac:dyDescent="0.25">
      <c r="A88" s="68"/>
      <c r="B88" s="61"/>
      <c r="C88" s="68"/>
      <c r="D88" s="59"/>
      <c r="E88" s="75"/>
      <c r="F88" s="85"/>
      <c r="G88" s="91"/>
      <c r="H88" s="65"/>
      <c r="I88" s="65"/>
      <c r="J88" s="65"/>
      <c r="K88" s="65"/>
      <c r="L88" s="92"/>
      <c r="M88" s="92"/>
    </row>
    <row r="89" spans="1:14" s="9" customFormat="1" ht="39.950000000000003" customHeight="1" x14ac:dyDescent="0.25">
      <c r="A89" s="150">
        <v>4</v>
      </c>
      <c r="B89" s="148"/>
      <c r="C89" s="148"/>
      <c r="D89" s="148" t="s">
        <v>60</v>
      </c>
      <c r="E89" s="148"/>
      <c r="F89" s="156"/>
      <c r="G89" s="148"/>
      <c r="H89" s="159" t="s">
        <v>111</v>
      </c>
      <c r="I89" s="159" t="s">
        <v>112</v>
      </c>
      <c r="J89" s="159" t="s">
        <v>121</v>
      </c>
      <c r="K89" s="159" t="s">
        <v>113</v>
      </c>
      <c r="L89" s="159" t="s">
        <v>174</v>
      </c>
      <c r="M89" s="159" t="s">
        <v>106</v>
      </c>
    </row>
    <row r="90" spans="1:14" s="10" customFormat="1" ht="35.1" customHeight="1" thickBot="1" x14ac:dyDescent="0.3">
      <c r="A90" s="68"/>
      <c r="B90" s="61" t="s">
        <v>20</v>
      </c>
      <c r="C90" s="68"/>
      <c r="D90" s="59"/>
      <c r="E90" s="75" t="s">
        <v>95</v>
      </c>
      <c r="F90" s="73" t="b">
        <f>+COUNTIF(F91:F101,TRUE)&gt;0</f>
        <v>1</v>
      </c>
      <c r="G90" s="95"/>
      <c r="H90" s="65"/>
      <c r="I90" s="65"/>
      <c r="J90" s="65"/>
      <c r="K90" s="65"/>
      <c r="L90" s="92"/>
      <c r="M90" s="92"/>
    </row>
    <row r="91" spans="1:14" s="10" customFormat="1" ht="35.1" customHeight="1" thickTop="1" thickBot="1" x14ac:dyDescent="0.3">
      <c r="A91" s="68"/>
      <c r="B91" s="59" t="s">
        <v>21</v>
      </c>
      <c r="C91" s="61"/>
      <c r="D91" s="68"/>
      <c r="E91" s="75" t="s">
        <v>377</v>
      </c>
      <c r="F91" s="69" t="b">
        <v>0</v>
      </c>
      <c r="G91" s="91"/>
      <c r="H91" s="94"/>
      <c r="I91" s="173" t="str">
        <f>+IF(F90,"La stima delle proiezioni dei flussi finanziari del piano è l'esito di un percorso che si dipana nelle seguenti fasi successive:"&amp;
IF(F91,s&amp;E91&amp;N91,"")&amp;
IF(F92,s&amp;E92&amp;N92,"")&amp;
IF(F93,s&amp;E93&amp;N93,"")&amp;
IF(F94,s&amp;E94&amp;N94,"")&amp;
IF(F95,s&amp;E95&amp;N95,"")&amp;
IF(F96,s&amp;E96&amp;N96,"")&amp;
IF(F97,s&amp;E97&amp;N97,"")&amp;
IF(F98,s&amp;E98&amp;N98,"")&amp;
IF(F99,s&amp;E99&amp;N99,"")&amp;
IF(F100,s&amp;E100&amp;N100,"")&amp;
IF(F101,s&amp;E101&amp;N101,"")&amp;pu,"")</f>
        <v xml:space="preserve">La stima delle proiezioni dei flussi finanziari del piano è l'esito di un percorso che si dipana nelle seguenti fasi successive: altro (specificare). </v>
      </c>
      <c r="J91" s="173"/>
      <c r="K91" s="173"/>
      <c r="L91" s="92"/>
      <c r="M91" s="92"/>
      <c r="N91" s="30" t="str">
        <f>+IF(
COUNTIF(F92:$F$102,TRUE)=1," e ",
IF(
COUNTIF(F92:$F$102,TRUE)&gt;1,", ",""))</f>
        <v xml:space="preserve"> e </v>
      </c>
    </row>
    <row r="92" spans="1:14" s="10" customFormat="1" ht="35.1" customHeight="1" thickTop="1" thickBot="1" x14ac:dyDescent="0.3">
      <c r="A92" s="68"/>
      <c r="B92" s="59" t="s">
        <v>22</v>
      </c>
      <c r="C92" s="61"/>
      <c r="D92" s="68"/>
      <c r="E92" s="75" t="s">
        <v>378</v>
      </c>
      <c r="F92" s="69" t="b">
        <v>0</v>
      </c>
      <c r="G92" s="91"/>
      <c r="H92" s="94"/>
      <c r="I92" s="173"/>
      <c r="J92" s="173"/>
      <c r="K92" s="173"/>
      <c r="L92" s="92"/>
      <c r="M92" s="92"/>
      <c r="N92" s="30" t="str">
        <f>+IF(
COUNTIF(F93:$F$102,TRUE)=1," e ",
IF(
COUNTIF(F93:$F$102,TRUE)&gt;1,", ",""))</f>
        <v xml:space="preserve"> e </v>
      </c>
    </row>
    <row r="93" spans="1:14" s="10" customFormat="1" ht="35.1" customHeight="1" thickTop="1" thickBot="1" x14ac:dyDescent="0.3">
      <c r="A93" s="68"/>
      <c r="B93" s="59" t="s">
        <v>23</v>
      </c>
      <c r="C93" s="61"/>
      <c r="D93" s="68"/>
      <c r="E93" s="75" t="s">
        <v>379</v>
      </c>
      <c r="F93" s="69" t="b">
        <v>0</v>
      </c>
      <c r="G93" s="91"/>
      <c r="H93" s="94"/>
      <c r="I93" s="173"/>
      <c r="J93" s="173"/>
      <c r="K93" s="173"/>
      <c r="L93" s="92"/>
      <c r="M93" s="92"/>
      <c r="N93" s="30" t="str">
        <f>+IF(
COUNTIF(F94:$F$102,TRUE)=1," e ",
IF(
COUNTIF(F94:$F$102,TRUE)&gt;1,", ",""))</f>
        <v xml:space="preserve"> e </v>
      </c>
    </row>
    <row r="94" spans="1:14" s="10" customFormat="1" ht="35.1" customHeight="1" thickTop="1" thickBot="1" x14ac:dyDescent="0.3">
      <c r="A94" s="68"/>
      <c r="B94" s="59" t="s">
        <v>24</v>
      </c>
      <c r="C94" s="61"/>
      <c r="D94" s="68"/>
      <c r="E94" s="75" t="s">
        <v>380</v>
      </c>
      <c r="F94" s="69" t="b">
        <v>0</v>
      </c>
      <c r="G94" s="91"/>
      <c r="H94" s="94"/>
      <c r="I94" s="173"/>
      <c r="J94" s="173"/>
      <c r="K94" s="173"/>
      <c r="L94" s="92"/>
      <c r="M94" s="92"/>
      <c r="N94" s="30" t="str">
        <f>+IF(
COUNTIF(F95:$F$102,TRUE)=1," e ",
IF(
COUNTIF(F95:$F$102,TRUE)&gt;1,", ",""))</f>
        <v xml:space="preserve"> e </v>
      </c>
    </row>
    <row r="95" spans="1:14" s="10" customFormat="1" ht="35.1" customHeight="1" thickTop="1" thickBot="1" x14ac:dyDescent="0.3">
      <c r="A95" s="68"/>
      <c r="B95" s="59" t="s">
        <v>25</v>
      </c>
      <c r="C95" s="61"/>
      <c r="D95" s="68"/>
      <c r="E95" s="75" t="s">
        <v>381</v>
      </c>
      <c r="F95" s="69" t="b">
        <v>0</v>
      </c>
      <c r="G95" s="91"/>
      <c r="H95" s="94"/>
      <c r="I95" s="173"/>
      <c r="J95" s="173"/>
      <c r="K95" s="173"/>
      <c r="L95" s="92"/>
      <c r="M95" s="92"/>
      <c r="N95" s="30" t="str">
        <f>+IF(
COUNTIF(F96:$F$102,TRUE)=1," e ",
IF(
COUNTIF(F96:$F$102,TRUE)&gt;1,", ",""))</f>
        <v xml:space="preserve"> e </v>
      </c>
    </row>
    <row r="96" spans="1:14" s="10" customFormat="1" ht="35.1" customHeight="1" thickTop="1" thickBot="1" x14ac:dyDescent="0.3">
      <c r="A96" s="68"/>
      <c r="B96" s="59" t="s">
        <v>26</v>
      </c>
      <c r="C96" s="61"/>
      <c r="D96" s="68"/>
      <c r="E96" s="75" t="s">
        <v>382</v>
      </c>
      <c r="F96" s="69" t="b">
        <v>0</v>
      </c>
      <c r="G96" s="91"/>
      <c r="H96" s="94"/>
      <c r="I96" s="173"/>
      <c r="J96" s="173"/>
      <c r="K96" s="173"/>
      <c r="L96" s="92"/>
      <c r="M96" s="92"/>
      <c r="N96" s="30" t="str">
        <f>+IF(
COUNTIF(F97:$F$102,TRUE)=1," e ",
IF(
COUNTIF(F97:$F$102,TRUE)&gt;1,", ",""))</f>
        <v xml:space="preserve"> e </v>
      </c>
    </row>
    <row r="97" spans="1:14" s="10" customFormat="1" ht="35.1" customHeight="1" thickTop="1" thickBot="1" x14ac:dyDescent="0.3">
      <c r="A97" s="68"/>
      <c r="B97" s="59" t="s">
        <v>27</v>
      </c>
      <c r="C97" s="61"/>
      <c r="D97" s="68"/>
      <c r="E97" s="75" t="s">
        <v>459</v>
      </c>
      <c r="F97" s="69" t="b">
        <v>0</v>
      </c>
      <c r="G97" s="91"/>
      <c r="H97" s="94"/>
      <c r="I97" s="173"/>
      <c r="J97" s="173"/>
      <c r="K97" s="173"/>
      <c r="L97" s="92"/>
      <c r="M97" s="92"/>
      <c r="N97" s="30" t="str">
        <f>+IF(
COUNTIF(F98:$F$102,TRUE)=1," e ",
IF(
COUNTIF(F98:$F$102,TRUE)&gt;1,", ",""))</f>
        <v xml:space="preserve"> e </v>
      </c>
    </row>
    <row r="98" spans="1:14" s="10" customFormat="1" ht="35.1" customHeight="1" thickTop="1" thickBot="1" x14ac:dyDescent="0.3">
      <c r="A98" s="68"/>
      <c r="B98" s="59" t="s">
        <v>28</v>
      </c>
      <c r="C98" s="61"/>
      <c r="D98" s="68"/>
      <c r="E98" s="75" t="s">
        <v>383</v>
      </c>
      <c r="F98" s="69" t="b">
        <v>0</v>
      </c>
      <c r="G98" s="91"/>
      <c r="H98" s="94"/>
      <c r="I98" s="173"/>
      <c r="J98" s="173"/>
      <c r="K98" s="173"/>
      <c r="L98" s="92"/>
      <c r="M98" s="92"/>
      <c r="N98" s="30" t="str">
        <f>+IF(
COUNTIF(F99:$F$102,TRUE)=1," e ",
IF(
COUNTIF(F99:$F$102,TRUE)&gt;1,", ",""))</f>
        <v xml:space="preserve"> e </v>
      </c>
    </row>
    <row r="99" spans="1:14" s="10" customFormat="1" ht="35.1" customHeight="1" thickTop="1" thickBot="1" x14ac:dyDescent="0.3">
      <c r="A99" s="68"/>
      <c r="B99" s="59" t="s">
        <v>29</v>
      </c>
      <c r="C99" s="61"/>
      <c r="D99" s="68"/>
      <c r="E99" s="75" t="s">
        <v>384</v>
      </c>
      <c r="F99" s="69" t="b">
        <v>0</v>
      </c>
      <c r="G99" s="91"/>
      <c r="H99" s="94"/>
      <c r="I99" s="173"/>
      <c r="J99" s="173"/>
      <c r="K99" s="173"/>
      <c r="L99" s="92"/>
      <c r="M99" s="92"/>
      <c r="N99" s="30" t="str">
        <f>+IF(
COUNTIF(F100:$F$102,TRUE)=1," e ",
IF(
COUNTIF(F100:$F$102,TRUE)&gt;1,", ",""))</f>
        <v xml:space="preserve"> e </v>
      </c>
    </row>
    <row r="100" spans="1:14" s="10" customFormat="1" ht="35.1" customHeight="1" thickTop="1" thickBot="1" x14ac:dyDescent="0.3">
      <c r="A100" s="68"/>
      <c r="B100" s="59" t="s">
        <v>30</v>
      </c>
      <c r="C100" s="61"/>
      <c r="D100" s="68"/>
      <c r="E100" s="75" t="s">
        <v>385</v>
      </c>
      <c r="F100" s="69" t="b">
        <v>0</v>
      </c>
      <c r="G100" s="91"/>
      <c r="H100" s="94"/>
      <c r="I100" s="96"/>
      <c r="J100" s="93"/>
      <c r="K100" s="93"/>
      <c r="L100" s="94"/>
      <c r="M100" s="94"/>
      <c r="N100" s="30" t="str">
        <f>+IF(
COUNTIF(F101:$F$102,TRUE)=1," e ",
IF(
COUNTIF(F102:$F$102,TRUE)&gt;1,", ",""))</f>
        <v xml:space="preserve"> e </v>
      </c>
    </row>
    <row r="101" spans="1:14" s="10" customFormat="1" ht="35.1" customHeight="1" thickTop="1" thickBot="1" x14ac:dyDescent="0.3">
      <c r="A101" s="68"/>
      <c r="B101" s="68"/>
      <c r="C101" s="172" t="s">
        <v>221</v>
      </c>
      <c r="D101" s="172"/>
      <c r="E101" s="160" t="s">
        <v>205</v>
      </c>
      <c r="F101" s="69" t="b">
        <f>+IF(E101&gt;"",TRUE,FALSE)</f>
        <v>1</v>
      </c>
      <c r="G101" s="91"/>
      <c r="H101" s="94"/>
      <c r="I101" s="99"/>
      <c r="J101" s="99"/>
      <c r="K101" s="99"/>
      <c r="L101" s="92"/>
      <c r="M101" s="92"/>
      <c r="N101" s="30" t="str">
        <f>+IF(
COUNTIF(F102:$F$102,TRUE)=1," e ",
IF(
COUNTIF(F102:$F$102,TRUE)&gt;1,", ",""))</f>
        <v/>
      </c>
    </row>
    <row r="102" spans="1:14" s="10" customFormat="1" ht="35.1" customHeight="1" thickTop="1" x14ac:dyDescent="0.25">
      <c r="A102" s="68"/>
      <c r="B102" s="78"/>
      <c r="C102" s="78"/>
      <c r="D102" s="78"/>
      <c r="E102" s="78"/>
      <c r="F102" s="79"/>
      <c r="G102" s="97"/>
      <c r="H102" s="67" t="s">
        <v>111</v>
      </c>
      <c r="I102" s="67" t="s">
        <v>112</v>
      </c>
      <c r="J102" s="67" t="s">
        <v>121</v>
      </c>
      <c r="K102" s="67" t="s">
        <v>113</v>
      </c>
      <c r="L102" s="98" t="s">
        <v>174</v>
      </c>
      <c r="M102" s="98" t="s">
        <v>106</v>
      </c>
    </row>
    <row r="103" spans="1:14" s="10" customFormat="1" ht="35.1" customHeight="1" thickBot="1" x14ac:dyDescent="0.3">
      <c r="A103" s="68"/>
      <c r="B103" s="61" t="s">
        <v>31</v>
      </c>
      <c r="C103" s="68"/>
      <c r="D103" s="59"/>
      <c r="E103" s="75" t="s">
        <v>247</v>
      </c>
      <c r="F103" s="69" t="b">
        <v>0</v>
      </c>
      <c r="G103" s="91"/>
      <c r="H103" s="65" t="s">
        <v>344</v>
      </c>
      <c r="I103" s="65" t="s">
        <v>345</v>
      </c>
      <c r="J103" s="65" t="s">
        <v>123</v>
      </c>
      <c r="K103" s="65" t="s">
        <v>248</v>
      </c>
      <c r="L103" s="65" t="str">
        <f ca="1">+OFFSET(F103,0,IF(F103,2,3))</f>
        <v>Le proiezioni fondate su previsioni non coprono un periodo massimo di 5 anni.</v>
      </c>
      <c r="M103" s="65" t="str">
        <f ca="1">+OFFSET(F103,0,IF(F103,4,5))</f>
        <v>Indicare le ragioni dell'arco temporale superiore</v>
      </c>
    </row>
    <row r="104" spans="1:14" s="10" customFormat="1" ht="35.1" customHeight="1" thickTop="1" x14ac:dyDescent="0.25">
      <c r="A104" s="68"/>
      <c r="B104" s="68"/>
      <c r="C104" s="61"/>
      <c r="D104" s="59"/>
      <c r="E104" s="61"/>
      <c r="F104" s="86"/>
      <c r="G104" s="98"/>
      <c r="H104" s="67"/>
      <c r="I104" s="67"/>
      <c r="J104" s="65"/>
      <c r="K104" s="65"/>
      <c r="L104" s="92"/>
      <c r="M104" s="92"/>
    </row>
    <row r="105" spans="1:14" s="10" customFormat="1" ht="35.1" customHeight="1" thickBot="1" x14ac:dyDescent="0.3">
      <c r="A105" s="68"/>
      <c r="B105" s="59" t="s">
        <v>21</v>
      </c>
      <c r="C105" s="61"/>
      <c r="D105" s="68"/>
      <c r="E105" s="75" t="s">
        <v>419</v>
      </c>
      <c r="F105" s="80" t="b">
        <f>+IF(E106&gt;"",TRUE,FALSE)</f>
        <v>1</v>
      </c>
      <c r="G105" s="91"/>
      <c r="H105" s="65"/>
      <c r="I105" s="173" t="str">
        <f>+IF(F105,"I ricavi sono stati stimati nel seguente modo:"&amp;s&amp;E106&amp;pu,"")</f>
        <v xml:space="preserve">I ricavi sono stati stimati nel seguente modo: Indicare la stima dei ricavi. </v>
      </c>
      <c r="J105" s="173"/>
      <c r="K105" s="173"/>
      <c r="L105" s="92"/>
      <c r="M105" s="92"/>
    </row>
    <row r="106" spans="1:14" s="10" customFormat="1" ht="35.1" customHeight="1" thickTop="1" thickBot="1" x14ac:dyDescent="0.3">
      <c r="A106" s="68"/>
      <c r="B106" s="68"/>
      <c r="C106" s="172" t="s">
        <v>221</v>
      </c>
      <c r="D106" s="172"/>
      <c r="E106" s="160" t="s">
        <v>250</v>
      </c>
      <c r="F106" s="69" t="b">
        <f>+IF(E106&gt;"",TRUE,FALSE)</f>
        <v>1</v>
      </c>
      <c r="G106" s="50"/>
      <c r="H106" s="65"/>
      <c r="I106" s="65"/>
      <c r="J106" s="65"/>
      <c r="K106" s="65"/>
      <c r="L106" s="92"/>
      <c r="M106" s="92"/>
    </row>
    <row r="107" spans="1:14" s="10" customFormat="1" ht="35.1" customHeight="1" thickTop="1" x14ac:dyDescent="0.25">
      <c r="A107" s="68"/>
      <c r="B107" s="78"/>
      <c r="C107" s="78"/>
      <c r="D107" s="78"/>
      <c r="E107" s="78"/>
      <c r="F107" s="79"/>
      <c r="G107" s="97"/>
      <c r="H107" s="67" t="s">
        <v>111</v>
      </c>
      <c r="I107" s="67" t="s">
        <v>112</v>
      </c>
      <c r="J107" s="67" t="s">
        <v>121</v>
      </c>
      <c r="K107" s="67" t="s">
        <v>113</v>
      </c>
      <c r="L107" s="98" t="s">
        <v>174</v>
      </c>
      <c r="M107" s="98" t="s">
        <v>106</v>
      </c>
    </row>
    <row r="108" spans="1:14" s="10" customFormat="1" ht="35.1" customHeight="1" thickBot="1" x14ac:dyDescent="0.3">
      <c r="A108" s="68"/>
      <c r="B108" s="61" t="s">
        <v>32</v>
      </c>
      <c r="C108" s="68"/>
      <c r="D108" s="59"/>
      <c r="E108" s="75" t="s">
        <v>63</v>
      </c>
      <c r="F108" s="69" t="b">
        <v>0</v>
      </c>
      <c r="G108" s="91"/>
      <c r="H108" s="65" t="s">
        <v>346</v>
      </c>
      <c r="I108" s="65" t="s">
        <v>347</v>
      </c>
      <c r="J108" s="65" t="s">
        <v>123</v>
      </c>
      <c r="K108" s="65" t="s">
        <v>123</v>
      </c>
      <c r="L108" s="65" t="str">
        <f ca="1">+OFFSET(F108,0,IF(F108,2,3))</f>
        <v>Le proiezioni dei ricavi non sono coerenti con i dati storici e quelli correnti.</v>
      </c>
      <c r="M108" s="65" t="str">
        <f ca="1">+OFFSET(F108,0,IF(F108,4,5))</f>
        <v>Aggiungere eventuali commenti</v>
      </c>
    </row>
    <row r="109" spans="1:14" s="10" customFormat="1" ht="35.1" customHeight="1" thickTop="1" thickBot="1" x14ac:dyDescent="0.3">
      <c r="A109" s="68"/>
      <c r="B109" s="59" t="s">
        <v>33</v>
      </c>
      <c r="C109" s="61"/>
      <c r="D109" s="68"/>
      <c r="E109" s="75" t="s">
        <v>182</v>
      </c>
      <c r="F109" s="69" t="b">
        <v>0</v>
      </c>
      <c r="G109" s="91"/>
      <c r="H109" s="65" t="s">
        <v>348</v>
      </c>
      <c r="I109" s="65" t="s">
        <v>348</v>
      </c>
      <c r="J109" s="65" t="s">
        <v>123</v>
      </c>
      <c r="K109" s="65" t="s">
        <v>249</v>
      </c>
      <c r="L109" s="65" t="str">
        <f ca="1">+OFFSET(F109,0,IF(F109,2,3))</f>
        <v>Le variazioni dei ricavi prospettici rispetto al dato corrente dell’esercizio in corso sono state giustificate in maniera adeguata.</v>
      </c>
      <c r="M109" s="65" t="str">
        <f ca="1">+OFFSET(F109,0,IF(F109,4,5))</f>
        <v>Giustificarle</v>
      </c>
    </row>
    <row r="110" spans="1:14" s="10" customFormat="1" ht="35.1" customHeight="1" thickTop="1" thickBot="1" x14ac:dyDescent="0.3">
      <c r="A110" s="68"/>
      <c r="B110" s="59" t="s">
        <v>34</v>
      </c>
      <c r="C110" s="61"/>
      <c r="D110" s="68"/>
      <c r="E110" s="75" t="s">
        <v>96</v>
      </c>
      <c r="F110" s="69" t="b">
        <v>0</v>
      </c>
      <c r="G110" s="91"/>
      <c r="H110" s="65" t="s">
        <v>349</v>
      </c>
      <c r="I110" s="65" t="s">
        <v>350</v>
      </c>
      <c r="J110" s="65" t="s">
        <v>123</v>
      </c>
      <c r="K110" s="65" t="s">
        <v>232</v>
      </c>
      <c r="L110" s="65" t="str">
        <f ca="1">+OFFSET(F110,0,IF(F110,2,3))</f>
        <v>Le variazioni dei ricavi del piano non sono state confrontate con le prospettive del settore.</v>
      </c>
      <c r="M110" s="65" t="str">
        <f ca="1">+OFFSET(F110,0,IF(F110,4,5))</f>
        <v>Indicare le ragioni</v>
      </c>
    </row>
    <row r="111" spans="1:14" s="10" customFormat="1" ht="35.1" customHeight="1" thickTop="1" thickBot="1" x14ac:dyDescent="0.3">
      <c r="A111" s="68"/>
      <c r="B111" s="59" t="s">
        <v>22</v>
      </c>
      <c r="C111" s="61"/>
      <c r="D111" s="68"/>
      <c r="E111" s="75" t="s">
        <v>181</v>
      </c>
      <c r="F111" s="80" t="b">
        <f>+IF(E112&gt;"",TRUE,FALSE)</f>
        <v>1</v>
      </c>
      <c r="G111" s="91"/>
      <c r="H111" s="65"/>
      <c r="I111" s="173" t="str">
        <f>+IF(F111,"La metodologia di stima dei costi variabili correlati ai ricavi e dei costi fissi è la seguente:"&amp;s&amp;E112&amp;pu,"")</f>
        <v xml:space="preserve">La metodologia di stima dei costi variabili correlati ai ricavi e dei costi fissi è la seguente: Indicare la metodologia di stima dei costi variabili e dei costi fissi. </v>
      </c>
      <c r="J111" s="173"/>
      <c r="K111" s="173"/>
      <c r="L111" s="92"/>
      <c r="M111" s="92"/>
    </row>
    <row r="112" spans="1:14" s="10" customFormat="1" ht="35.1" customHeight="1" thickTop="1" thickBot="1" x14ac:dyDescent="0.3">
      <c r="A112" s="68"/>
      <c r="B112" s="68"/>
      <c r="C112" s="172" t="s">
        <v>221</v>
      </c>
      <c r="D112" s="172"/>
      <c r="E112" s="160" t="s">
        <v>255</v>
      </c>
      <c r="F112" s="69" t="b">
        <f>+IF(E112&gt;"",TRUE,FALSE)</f>
        <v>1</v>
      </c>
      <c r="G112" s="100"/>
      <c r="H112" s="65"/>
      <c r="I112" s="173"/>
      <c r="J112" s="173"/>
      <c r="K112" s="173"/>
      <c r="L112" s="92"/>
      <c r="M112" s="92"/>
    </row>
    <row r="113" spans="1:13" s="10" customFormat="1" ht="35.1" customHeight="1" thickTop="1" x14ac:dyDescent="0.25">
      <c r="A113" s="68"/>
      <c r="B113" s="78"/>
      <c r="C113" s="78"/>
      <c r="D113" s="78"/>
      <c r="E113" s="78"/>
      <c r="F113" s="79"/>
      <c r="G113" s="97"/>
      <c r="H113" s="67" t="s">
        <v>111</v>
      </c>
      <c r="I113" s="67" t="s">
        <v>112</v>
      </c>
      <c r="J113" s="67" t="s">
        <v>121</v>
      </c>
      <c r="K113" s="67" t="s">
        <v>113</v>
      </c>
      <c r="L113" s="98" t="s">
        <v>174</v>
      </c>
      <c r="M113" s="98" t="s">
        <v>106</v>
      </c>
    </row>
    <row r="114" spans="1:13" s="10" customFormat="1" ht="35.1" customHeight="1" thickBot="1" x14ac:dyDescent="0.3">
      <c r="A114" s="68"/>
      <c r="B114" s="61" t="s">
        <v>97</v>
      </c>
      <c r="C114" s="68"/>
      <c r="D114" s="59"/>
      <c r="E114" s="75" t="s">
        <v>98</v>
      </c>
      <c r="F114" s="80" t="b">
        <v>0</v>
      </c>
      <c r="G114" s="97"/>
      <c r="H114" s="65" t="s">
        <v>351</v>
      </c>
      <c r="I114" s="65" t="s">
        <v>352</v>
      </c>
      <c r="J114" s="65" t="s">
        <v>123</v>
      </c>
      <c r="K114" s="65" t="s">
        <v>123</v>
      </c>
      <c r="L114" s="65" t="str">
        <f ca="1">+OFFSET(F114,0,IF(F114,2,3))</f>
        <v>La stima dei costi variabili e dei costi di struttura non è coerente con la situazione in atto e con i dati storici.</v>
      </c>
      <c r="M114" s="65" t="str">
        <f ca="1">+OFFSET(F114,0,IF(F114,4,5))</f>
        <v>Aggiungere eventuali commenti</v>
      </c>
    </row>
    <row r="115" spans="1:13" s="10" customFormat="1" ht="35.1" customHeight="1" thickTop="1" thickBot="1" x14ac:dyDescent="0.3">
      <c r="A115" s="68"/>
      <c r="B115" s="68"/>
      <c r="C115" s="61"/>
      <c r="D115" s="59"/>
      <c r="E115" s="75" t="s">
        <v>251</v>
      </c>
      <c r="F115" s="80" t="b">
        <f>+IF(E116&gt;"",TRUE,FALSE)</f>
        <v>1</v>
      </c>
      <c r="G115" s="91"/>
      <c r="H115" s="101"/>
      <c r="I115" s="173" t="str">
        <f>+IF(F115,"I risparmi dei costi variabili e fissi sono:"&amp;s&amp;E116&amp;pu&amp;
IF(F117,s&amp;"I possibili rischi che derivano dai risparmi di costo:"&amp;s&amp;E116&amp;pu,""),"")</f>
        <v xml:space="preserve">I risparmi dei costi variabili e fissi sono: Indicare i risparmi e come l’imprenditore intende conseguirli.  I possibili rischi che derivano dai risparmi di costo: Indicare i risparmi e come l’imprenditore intende conseguirli. </v>
      </c>
      <c r="J115" s="173"/>
      <c r="K115" s="173"/>
      <c r="L115" s="92"/>
      <c r="M115" s="92"/>
    </row>
    <row r="116" spans="1:13" s="10" customFormat="1" ht="35.1" customHeight="1" thickTop="1" thickBot="1" x14ac:dyDescent="0.3">
      <c r="A116" s="68"/>
      <c r="B116" s="68"/>
      <c r="C116" s="172" t="s">
        <v>221</v>
      </c>
      <c r="D116" s="172"/>
      <c r="E116" s="160" t="s">
        <v>252</v>
      </c>
      <c r="F116" s="69" t="b">
        <f>+IF(E116&gt;"",TRUE,FALSE)</f>
        <v>1</v>
      </c>
      <c r="G116" s="102"/>
      <c r="H116" s="101"/>
      <c r="I116" s="173"/>
      <c r="J116" s="173"/>
      <c r="K116" s="173"/>
      <c r="L116" s="92"/>
      <c r="M116" s="92"/>
    </row>
    <row r="117" spans="1:13" s="10" customFormat="1" ht="35.1" customHeight="1" thickTop="1" thickBot="1" x14ac:dyDescent="0.3">
      <c r="A117" s="68"/>
      <c r="B117" s="68"/>
      <c r="C117" s="61"/>
      <c r="D117" s="59"/>
      <c r="E117" s="75" t="s">
        <v>253</v>
      </c>
      <c r="F117" s="80" t="b">
        <f>+IF(E118&gt;"",TRUE,FALSE)</f>
        <v>1</v>
      </c>
      <c r="G117" s="91"/>
      <c r="H117" s="65"/>
      <c r="I117" s="173"/>
      <c r="J117" s="173"/>
      <c r="K117" s="173"/>
      <c r="L117" s="92"/>
      <c r="M117" s="92"/>
    </row>
    <row r="118" spans="1:13" s="10" customFormat="1" ht="35.1" customHeight="1" thickTop="1" thickBot="1" x14ac:dyDescent="0.3">
      <c r="A118" s="68"/>
      <c r="B118" s="68"/>
      <c r="C118" s="172" t="s">
        <v>221</v>
      </c>
      <c r="D118" s="172"/>
      <c r="E118" s="160" t="s">
        <v>254</v>
      </c>
      <c r="F118" s="69" t="b">
        <f>+IF(E118&gt;"",TRUE,FALSE)</f>
        <v>1</v>
      </c>
      <c r="G118" s="100"/>
      <c r="H118" s="65"/>
      <c r="I118" s="173"/>
      <c r="J118" s="173"/>
      <c r="K118" s="173"/>
      <c r="L118" s="92"/>
      <c r="M118" s="92"/>
    </row>
    <row r="119" spans="1:13" s="10" customFormat="1" ht="35.1" customHeight="1" thickTop="1" thickBot="1" x14ac:dyDescent="0.3">
      <c r="A119" s="68"/>
      <c r="B119" s="59" t="s">
        <v>24</v>
      </c>
      <c r="C119" s="61"/>
      <c r="D119" s="68"/>
      <c r="E119" s="75" t="s">
        <v>386</v>
      </c>
      <c r="F119" s="80" t="b">
        <f>+IF(E120&gt;"",TRUE,FALSE)</f>
        <v>1</v>
      </c>
      <c r="G119" s="91"/>
      <c r="H119" s="65"/>
      <c r="I119" s="173" t="str">
        <f>+IF(F119,"La metodologia di stima degli investimenti è la seguente:"&amp;s&amp;E120&amp;pu,"")</f>
        <v xml:space="preserve">La metodologia di stima degli investimenti è la seguente: Indicare la metodologia di stima degli investimenti. </v>
      </c>
      <c r="J119" s="173"/>
      <c r="K119" s="173"/>
      <c r="L119" s="92"/>
      <c r="M119" s="92"/>
    </row>
    <row r="120" spans="1:13" s="10" customFormat="1" ht="35.1" customHeight="1" thickTop="1" thickBot="1" x14ac:dyDescent="0.3">
      <c r="A120" s="68"/>
      <c r="B120" s="68"/>
      <c r="C120" s="172" t="s">
        <v>221</v>
      </c>
      <c r="D120" s="172"/>
      <c r="E120" s="160" t="s">
        <v>256</v>
      </c>
      <c r="F120" s="69" t="b">
        <f>+IF(E120&gt;"",TRUE,FALSE)</f>
        <v>1</v>
      </c>
      <c r="G120" s="100"/>
      <c r="H120" s="65"/>
      <c r="I120" s="173"/>
      <c r="J120" s="173"/>
      <c r="K120" s="173"/>
      <c r="L120" s="92"/>
      <c r="M120" s="92"/>
    </row>
    <row r="121" spans="1:13" s="10" customFormat="1" ht="35.1" customHeight="1" thickTop="1" x14ac:dyDescent="0.25">
      <c r="A121" s="68"/>
      <c r="B121" s="78"/>
      <c r="C121" s="78"/>
      <c r="D121" s="78"/>
      <c r="E121" s="78"/>
      <c r="F121" s="87"/>
      <c r="G121" s="100"/>
      <c r="H121" s="67" t="s">
        <v>111</v>
      </c>
      <c r="I121" s="67" t="s">
        <v>112</v>
      </c>
      <c r="J121" s="67" t="s">
        <v>121</v>
      </c>
      <c r="K121" s="67" t="s">
        <v>113</v>
      </c>
      <c r="L121" s="98" t="s">
        <v>174</v>
      </c>
      <c r="M121" s="98" t="s">
        <v>106</v>
      </c>
    </row>
    <row r="122" spans="1:13" s="10" customFormat="1" ht="35.1" customHeight="1" thickBot="1" x14ac:dyDescent="0.3">
      <c r="A122" s="68"/>
      <c r="B122" s="61" t="s">
        <v>35</v>
      </c>
      <c r="C122" s="68"/>
      <c r="D122" s="59"/>
      <c r="E122" s="75" t="s">
        <v>100</v>
      </c>
      <c r="F122" s="80" t="b">
        <v>0</v>
      </c>
      <c r="G122" s="95"/>
      <c r="H122" s="65" t="s">
        <v>353</v>
      </c>
      <c r="I122" s="65" t="s">
        <v>354</v>
      </c>
      <c r="J122" s="65" t="s">
        <v>123</v>
      </c>
      <c r="K122" s="65" t="s">
        <v>123</v>
      </c>
      <c r="L122" s="65" t="str">
        <f ca="1">+OFFSET(F122,0,IF(F122,2,3))</f>
        <v>La società non svolge più attività.</v>
      </c>
      <c r="M122" s="65" t="str">
        <f ca="1">+OFFSET(F122,0,IF(F122,4,5))</f>
        <v>Aggiungere eventuali commenti</v>
      </c>
    </row>
    <row r="123" spans="1:13" s="10" customFormat="1" ht="35.1" customHeight="1" thickTop="1" thickBot="1" x14ac:dyDescent="0.3">
      <c r="A123" s="68"/>
      <c r="B123" s="61" t="s">
        <v>36</v>
      </c>
      <c r="C123" s="68"/>
      <c r="D123" s="59"/>
      <c r="E123" s="75" t="s">
        <v>99</v>
      </c>
      <c r="F123" s="69" t="b">
        <v>0</v>
      </c>
      <c r="G123" s="91"/>
      <c r="H123" s="65" t="s">
        <v>355</v>
      </c>
      <c r="I123" s="65" t="s">
        <v>356</v>
      </c>
      <c r="J123" s="65" t="s">
        <v>123</v>
      </c>
      <c r="K123" s="65" t="s">
        <v>123</v>
      </c>
      <c r="L123" s="65" t="str">
        <f ca="1">+OFFSET(F123,0,IF(F123,2,3))</f>
        <v>Il piano non tiene conto in misura adeguata degli investimenti di mantenimento occorrenti.</v>
      </c>
      <c r="M123" s="65" t="str">
        <f ca="1">+OFFSET(F123,0,IF(F123,4,5))</f>
        <v>Aggiungere eventuali commenti</v>
      </c>
    </row>
    <row r="124" spans="1:13" s="10" customFormat="1" ht="35.1" customHeight="1" thickTop="1" thickBot="1" x14ac:dyDescent="0.3">
      <c r="A124" s="68"/>
      <c r="B124" s="59" t="s">
        <v>25</v>
      </c>
      <c r="C124" s="61"/>
      <c r="D124" s="68"/>
      <c r="E124" s="75" t="s">
        <v>387</v>
      </c>
      <c r="F124" s="80" t="b">
        <f>+IF(E125&gt;"",TRUE,FALSE)</f>
        <v>1</v>
      </c>
      <c r="G124" s="95"/>
      <c r="H124" s="65"/>
      <c r="I124" s="173" t="str">
        <f>+IF(F124,"La metodologia di stima degli effetti delle iniziative industriali che si intendono intraprendere in discontinuità rispetto al passato è la seguente:"&amp;s&amp;E125&amp;pu,"")</f>
        <v xml:space="preserve">La metodologia di stima degli effetti delle iniziative industriali che si intendono intraprendere in discontinuità rispetto al passato è la seguente: Indicare la metodologia di stima degli effetti delle iniziative industriali che si intendono intraprendere in discontinuità rispetto al passato. </v>
      </c>
      <c r="J124" s="173"/>
      <c r="K124" s="173"/>
      <c r="L124" s="92"/>
      <c r="M124" s="92"/>
    </row>
    <row r="125" spans="1:13" s="10" customFormat="1" ht="35.1" customHeight="1" thickTop="1" thickBot="1" x14ac:dyDescent="0.3">
      <c r="A125" s="68"/>
      <c r="B125" s="68"/>
      <c r="C125" s="172" t="s">
        <v>221</v>
      </c>
      <c r="D125" s="172"/>
      <c r="E125" s="160" t="s">
        <v>257</v>
      </c>
      <c r="F125" s="69" t="b">
        <f>+IF(E125&gt;"",TRUE,FALSE)</f>
        <v>1</v>
      </c>
      <c r="G125" s="49"/>
      <c r="H125" s="65"/>
      <c r="I125" s="173"/>
      <c r="J125" s="173"/>
      <c r="K125" s="173"/>
      <c r="L125" s="92"/>
      <c r="M125" s="92"/>
    </row>
    <row r="126" spans="1:13" s="10" customFormat="1" ht="35.1" customHeight="1" thickTop="1" thickBot="1" x14ac:dyDescent="0.3">
      <c r="A126" s="68"/>
      <c r="B126" s="61" t="s">
        <v>37</v>
      </c>
      <c r="C126" s="68"/>
      <c r="D126" s="59"/>
      <c r="E126" s="75" t="s">
        <v>259</v>
      </c>
      <c r="F126" s="69" t="b">
        <v>0</v>
      </c>
      <c r="G126" s="91"/>
      <c r="H126" s="65" t="s">
        <v>389</v>
      </c>
      <c r="I126" s="65" t="s">
        <v>390</v>
      </c>
      <c r="J126" s="65" t="s">
        <v>123</v>
      </c>
      <c r="K126" s="65" t="s">
        <v>123</v>
      </c>
      <c r="L126" s="65" t="str">
        <f t="shared" ref="L126:L135" ca="1" si="2">+OFFSET(F126,0,IF(F126,2,3))</f>
        <v>La  stima degli effetti di tali iniziative (in termini di investimenti, ricavi e costi) non è coerente con le informazioni disponibili ed è ritenuta giustificata dalle diverse funzioni aziendali.</v>
      </c>
      <c r="M126" s="65" t="str">
        <f t="shared" ref="M126:M135" ca="1" si="3">+OFFSET(F126,0,IF(F126,4,5))</f>
        <v>Aggiungere eventuali commenti</v>
      </c>
    </row>
    <row r="127" spans="1:13" s="10" customFormat="1" ht="35.1" customHeight="1" thickTop="1" thickBot="1" x14ac:dyDescent="0.3">
      <c r="A127" s="68"/>
      <c r="B127" s="59" t="s">
        <v>26</v>
      </c>
      <c r="C127" s="68"/>
      <c r="D127" s="68"/>
      <c r="E127" s="75" t="s">
        <v>388</v>
      </c>
      <c r="F127" s="69" t="b">
        <v>0</v>
      </c>
      <c r="G127" s="91"/>
      <c r="H127" s="65" t="s">
        <v>357</v>
      </c>
      <c r="I127" s="65" t="s">
        <v>358</v>
      </c>
      <c r="J127" s="65" t="s">
        <v>123</v>
      </c>
      <c r="K127" s="65" t="s">
        <v>123</v>
      </c>
      <c r="L127" s="65" t="str">
        <f t="shared" ca="1" si="2"/>
        <v>I dati economici prognostici non sono coerenti.</v>
      </c>
      <c r="M127" s="65" t="str">
        <f t="shared" ca="1" si="3"/>
        <v>Aggiungere eventuali commenti</v>
      </c>
    </row>
    <row r="128" spans="1:13" s="10" customFormat="1" ht="35.1" customHeight="1" thickTop="1" thickBot="1" x14ac:dyDescent="0.3">
      <c r="A128" s="68"/>
      <c r="B128" s="61" t="s">
        <v>38</v>
      </c>
      <c r="C128" s="68"/>
      <c r="D128" s="59"/>
      <c r="E128" s="75" t="s">
        <v>66</v>
      </c>
      <c r="F128" s="69" t="b">
        <v>0</v>
      </c>
      <c r="G128" s="91"/>
      <c r="H128" s="65" t="s">
        <v>359</v>
      </c>
      <c r="I128" s="65" t="s">
        <v>360</v>
      </c>
      <c r="J128" s="65" t="s">
        <v>258</v>
      </c>
      <c r="K128" s="65" t="s">
        <v>237</v>
      </c>
      <c r="L128" s="65" t="str">
        <f t="shared" ca="1" si="2"/>
        <v>Non è stata svolta una verifica di ragionevolezza della redditività prospettica quale risulta dai paragrafi precedenti.</v>
      </c>
      <c r="M128" s="65" t="str">
        <f t="shared" ca="1" si="3"/>
        <v>Indicare le motivazioni</v>
      </c>
    </row>
    <row r="129" spans="1:15" s="10" customFormat="1" ht="35.1" customHeight="1" thickTop="1" thickBot="1" x14ac:dyDescent="0.3">
      <c r="A129" s="68"/>
      <c r="B129" s="59" t="s">
        <v>39</v>
      </c>
      <c r="C129" s="68"/>
      <c r="D129" s="68"/>
      <c r="E129" s="75" t="s">
        <v>101</v>
      </c>
      <c r="F129" s="69" t="b">
        <v>0</v>
      </c>
      <c r="G129" s="91"/>
      <c r="H129" s="65" t="s">
        <v>361</v>
      </c>
      <c r="I129" s="65" t="s">
        <v>362</v>
      </c>
      <c r="J129" s="65" t="s">
        <v>232</v>
      </c>
      <c r="K129" s="65" t="s">
        <v>237</v>
      </c>
      <c r="L129" s="65" t="str">
        <f t="shared" ca="1" si="2"/>
        <v>La redditività ed i principali indicatori chiave gestionali (KPI) prospettici non sono coerenti con l’andamento storico.</v>
      </c>
      <c r="M129" s="65" t="str">
        <f t="shared" ca="1" si="3"/>
        <v>Indicare le motivazioni</v>
      </c>
    </row>
    <row r="130" spans="1:15" s="10" customFormat="1" ht="35.1" customHeight="1" thickTop="1" thickBot="1" x14ac:dyDescent="0.3">
      <c r="A130" s="68"/>
      <c r="B130" s="59" t="s">
        <v>40</v>
      </c>
      <c r="C130" s="68"/>
      <c r="D130" s="68"/>
      <c r="E130" s="75" t="s">
        <v>260</v>
      </c>
      <c r="F130" s="69" t="b">
        <v>0</v>
      </c>
      <c r="G130" s="91"/>
      <c r="H130" s="65" t="s">
        <v>363</v>
      </c>
      <c r="I130" s="65" t="s">
        <v>364</v>
      </c>
      <c r="J130" s="65" t="s">
        <v>232</v>
      </c>
      <c r="K130" s="65" t="s">
        <v>237</v>
      </c>
      <c r="L130" s="65" t="str">
        <f t="shared" ca="1" si="2"/>
        <v>Non è giustificata ogni differenza tra l’incidenza del margine operativo lordo sui ricavi ed i benchmark di mercato disponibili.</v>
      </c>
      <c r="M130" s="65" t="str">
        <f t="shared" ca="1" si="3"/>
        <v>Indicare le motivazioni</v>
      </c>
    </row>
    <row r="131" spans="1:15" s="10" customFormat="1" ht="35.1" customHeight="1" thickTop="1" thickBot="1" x14ac:dyDescent="0.3">
      <c r="A131" s="68"/>
      <c r="B131" s="59" t="s">
        <v>27</v>
      </c>
      <c r="C131" s="68"/>
      <c r="D131" s="68"/>
      <c r="E131" s="75" t="s">
        <v>420</v>
      </c>
      <c r="F131" s="69" t="b">
        <v>0</v>
      </c>
      <c r="G131" s="91"/>
      <c r="H131" s="65" t="s">
        <v>365</v>
      </c>
      <c r="I131" s="65" t="s">
        <v>366</v>
      </c>
      <c r="J131" s="65" t="s">
        <v>261</v>
      </c>
      <c r="K131" s="65" t="s">
        <v>123</v>
      </c>
      <c r="L131" s="65" t="str">
        <f t="shared" ca="1" si="2"/>
        <v>Non sono previste operazioni straordinarie.</v>
      </c>
      <c r="M131" s="65" t="str">
        <f t="shared" ca="1" si="3"/>
        <v>Aggiungere eventuali commenti</v>
      </c>
    </row>
    <row r="132" spans="1:15" s="10" customFormat="1" ht="35.1" customHeight="1" thickTop="1" thickBot="1" x14ac:dyDescent="0.3">
      <c r="A132" s="68"/>
      <c r="B132" s="61" t="s">
        <v>69</v>
      </c>
      <c r="C132" s="68"/>
      <c r="D132" s="59"/>
      <c r="E132" s="75" t="s">
        <v>262</v>
      </c>
      <c r="F132" s="69" t="b">
        <v>0</v>
      </c>
      <c r="G132" s="91"/>
      <c r="H132" s="65" t="s">
        <v>367</v>
      </c>
      <c r="I132" s="65" t="s">
        <v>368</v>
      </c>
      <c r="J132" s="65" t="s">
        <v>263</v>
      </c>
      <c r="K132" s="65" t="s">
        <v>123</v>
      </c>
      <c r="L132" s="65" t="str">
        <f t="shared" ca="1" si="2"/>
        <v>Non è stata prevista la dismissione di cespiti d'investimento.</v>
      </c>
      <c r="M132" s="65" t="str">
        <f t="shared" ca="1" si="3"/>
        <v>Aggiungere eventuali commenti</v>
      </c>
    </row>
    <row r="133" spans="1:15" s="10" customFormat="1" ht="35.1" customHeight="1" thickTop="1" thickBot="1" x14ac:dyDescent="0.3">
      <c r="A133" s="68"/>
      <c r="B133" s="59" t="s">
        <v>28</v>
      </c>
      <c r="C133" s="68"/>
      <c r="D133" s="68"/>
      <c r="E133" s="75" t="s">
        <v>264</v>
      </c>
      <c r="F133" s="69" t="b">
        <v>0</v>
      </c>
      <c r="G133" s="91"/>
      <c r="H133" s="65" t="s">
        <v>369</v>
      </c>
      <c r="I133" s="65" t="s">
        <v>370</v>
      </c>
      <c r="J133" s="65" t="s">
        <v>422</v>
      </c>
      <c r="K133" s="65" t="s">
        <v>123</v>
      </c>
      <c r="L133" s="65" t="str">
        <f t="shared" ca="1" si="2"/>
        <v>Non è stato stimato il pagamento delle imposte sul reddito.</v>
      </c>
      <c r="M133" s="65" t="str">
        <f t="shared" ca="1" si="3"/>
        <v>Aggiungere eventuali commenti</v>
      </c>
    </row>
    <row r="134" spans="1:15" s="10" customFormat="1" ht="35.1" customHeight="1" thickTop="1" thickBot="1" x14ac:dyDescent="0.3">
      <c r="A134" s="68"/>
      <c r="B134" s="61" t="s">
        <v>41</v>
      </c>
      <c r="C134" s="68"/>
      <c r="D134" s="59"/>
      <c r="E134" s="75" t="s">
        <v>183</v>
      </c>
      <c r="F134" s="69" t="b">
        <v>0</v>
      </c>
      <c r="G134" s="91"/>
      <c r="H134" s="65" t="s">
        <v>371</v>
      </c>
      <c r="I134" s="65" t="s">
        <v>372</v>
      </c>
      <c r="J134" s="65" t="s">
        <v>123</v>
      </c>
      <c r="K134" s="65" t="s">
        <v>123</v>
      </c>
      <c r="L134" s="65" t="str">
        <f t="shared" ca="1" si="2"/>
        <v>Nella stima del pagamento delle imposte non si è tenuto conto dell’effetto delle perdite fiscali a nuovo e del periodo di imputazione fiscale dei costi e dei ricavi.</v>
      </c>
      <c r="M134" s="65" t="str">
        <f t="shared" ca="1" si="3"/>
        <v>Aggiungere eventuali commenti</v>
      </c>
    </row>
    <row r="135" spans="1:15" s="10" customFormat="1" ht="35.1" customHeight="1" thickTop="1" thickBot="1" x14ac:dyDescent="0.3">
      <c r="A135" s="68"/>
      <c r="B135" s="59" t="s">
        <v>29</v>
      </c>
      <c r="C135" s="68"/>
      <c r="D135" s="68"/>
      <c r="E135" s="75" t="s">
        <v>421</v>
      </c>
      <c r="F135" s="69" t="b">
        <v>0</v>
      </c>
      <c r="G135" s="91"/>
      <c r="H135" s="65" t="s">
        <v>373</v>
      </c>
      <c r="I135" s="65" t="s">
        <v>374</v>
      </c>
      <c r="J135" s="65" t="s">
        <v>423</v>
      </c>
      <c r="K135" s="65" t="s">
        <v>123</v>
      </c>
      <c r="L135" s="65" t="str">
        <f t="shared" ca="1" si="2"/>
        <v>Non è presente declinazione finanziaria delle grandezze economiche e determinazione dei flussi al servizio del debito.</v>
      </c>
      <c r="M135" s="65" t="str">
        <f t="shared" ca="1" si="3"/>
        <v>Aggiungere eventuali commenti</v>
      </c>
    </row>
    <row r="136" spans="1:15" s="10" customFormat="1" ht="35.1" customHeight="1" thickTop="1" thickBot="1" x14ac:dyDescent="0.3">
      <c r="A136" s="68"/>
      <c r="B136" s="61" t="s">
        <v>42</v>
      </c>
      <c r="C136" s="68"/>
      <c r="D136" s="59"/>
      <c r="E136" s="75" t="s">
        <v>102</v>
      </c>
      <c r="F136" s="73">
        <f>(+COUNTIF(F137,TRUE)&gt;0)+
(COUNTIF(F140,TRUE)&gt;0)+
(COUNTIF(F142,TRUE)&gt;0)+
(COUNTIF(F144,TRUE)&gt;0)</f>
        <v>0</v>
      </c>
      <c r="G136" s="91"/>
      <c r="H136" s="93"/>
      <c r="I136" s="65"/>
      <c r="J136" s="65"/>
      <c r="K136" s="65"/>
      <c r="L136" s="94"/>
      <c r="M136" s="94"/>
    </row>
    <row r="137" spans="1:15" s="10" customFormat="1" ht="35.1" customHeight="1" thickTop="1" thickBot="1" x14ac:dyDescent="0.3">
      <c r="A137" s="68"/>
      <c r="B137" s="59" t="s">
        <v>43</v>
      </c>
      <c r="C137" s="61"/>
      <c r="D137" s="68"/>
      <c r="E137" s="75" t="s">
        <v>266</v>
      </c>
      <c r="F137" s="69" t="b">
        <v>0</v>
      </c>
      <c r="G137" s="95"/>
      <c r="H137" s="94"/>
      <c r="I137" s="173" t="str" cm="1">
        <f t="array" ref="I137">+IF(F136,"La determinazione dei flussi finanziari al servizio del debito è stata effettuata muovendo dai dati economici. Essa ha avuto luogo:"&amp;
IF(F137,AC&amp;p&amp;s&amp;E137&amp;N137&amp;IF(F138,s&amp;"I tempi sono coerenti con la serie storica dell'impresa"&amp;N138&amp;IF(F139,s&amp;E139&amp;N139,""),""),"")&amp;
IF(F140,AC&amp;p&amp;s&amp;"Deducendo dai flussi così determinati gli investimenti previsti (sia quelli di mantenimento che quelli relativi alle iniziative industriali) e il pagamento delle imposte"&amp;N140&amp;IF(F141,s&amp;E141&amp;N141,""),"")&amp;
IF(F142,AC&amp;p&amp;s&amp;"Portando in conto l'effetto delle dismissioni di cespiti d'investimento e di altre operazioni straordinarie previste"&amp;N142&amp;IF(F143,s&amp;E143&amp;N143,""),"")&amp;
IF(F144,AC&amp;p&amp;s&amp;"Per semplicità le micro e le piccole imprese possono ricorrere alle sole grandezze economiche senza convertirle in flussi di cassa. L'impresa è considerata tra le micro e piccole imprese"&amp;N144&amp;IF(F145,s&amp;"L'impresa ha verificato che l’ammontare degli investimenti di mantenimento sia adeguatamente espresso dagli ammortamenti (portando una rettifica in caso contrario)"&amp;N145&amp;IF(F146,s&amp;"L'impresa ha considerato l’effetto delle iniziative industriali previste"&amp;N146&amp;IF(F147,s&amp;"L'impresa ha tenuto conto della dismissione di cespiti e delle operazioni straordinarie programmate"&amp;N147,""),""),""),"")&amp;pu,"")</f>
        <v/>
      </c>
      <c r="J137" s="173"/>
      <c r="K137" s="173"/>
      <c r="L137" s="94"/>
      <c r="M137" s="94"/>
      <c r="N137" s="30" t="str">
        <f>+IF(
COUNTIF(F138:$F$148,TRUE)=1,pu,
IF(
COUNTIF(F138:$F$148,TRUE)&gt;1,pu,""))</f>
        <v xml:space="preserve">. </v>
      </c>
      <c r="O137" s="10" t="str">
        <f>UPPER(LEFT(E98,1))&amp;LOWER(RIGHT(E98, LEN(E98)-1))</f>
        <v>Stima del pagamento delle imposte sul reddito</v>
      </c>
    </row>
    <row r="138" spans="1:15" s="10" customFormat="1" ht="35.1" customHeight="1" thickTop="1" thickBot="1" x14ac:dyDescent="0.3">
      <c r="A138" s="68"/>
      <c r="B138" s="68"/>
      <c r="C138" s="61"/>
      <c r="D138" s="59"/>
      <c r="E138" s="75" t="s">
        <v>265</v>
      </c>
      <c r="F138" s="69" t="b">
        <v>0</v>
      </c>
      <c r="G138" s="91"/>
      <c r="H138" s="94"/>
      <c r="I138" s="173"/>
      <c r="J138" s="173"/>
      <c r="K138" s="173"/>
      <c r="L138" s="94"/>
      <c r="M138" s="94"/>
      <c r="N138" s="30" t="str">
        <f>+IF(
COUNTIF(F139:$F$148,TRUE)=1,pu,
IF(
COUNTIF(F139:$F$148,TRUE)&gt;1,pu,""))</f>
        <v xml:space="preserve">. </v>
      </c>
    </row>
    <row r="139" spans="1:15" s="10" customFormat="1" ht="35.1" customHeight="1" thickTop="1" thickBot="1" x14ac:dyDescent="0.3">
      <c r="A139" s="68"/>
      <c r="B139" s="68"/>
      <c r="C139" s="172" t="s">
        <v>221</v>
      </c>
      <c r="D139" s="172"/>
      <c r="E139" s="160" t="s">
        <v>123</v>
      </c>
      <c r="F139" s="69" t="b">
        <f>+IF(E139&gt;"",TRUE,FALSE)</f>
        <v>1</v>
      </c>
      <c r="G139" s="91"/>
      <c r="H139" s="94"/>
      <c r="I139" s="173"/>
      <c r="J139" s="173"/>
      <c r="K139" s="173"/>
      <c r="L139" s="94"/>
      <c r="M139" s="94"/>
      <c r="N139" s="30" t="str">
        <f>+IF(
COUNTIF(F140:$F$148,TRUE)=1,pu,
IF(
COUNTIF(F140:$F$148,TRUE)&gt;1,pu,""))</f>
        <v xml:space="preserve">. </v>
      </c>
    </row>
    <row r="140" spans="1:15" s="10" customFormat="1" ht="35.1" customHeight="1" thickTop="1" thickBot="1" x14ac:dyDescent="0.3">
      <c r="A140" s="68"/>
      <c r="B140" s="59" t="s">
        <v>44</v>
      </c>
      <c r="C140" s="61"/>
      <c r="D140" s="68"/>
      <c r="E140" s="75" t="s">
        <v>103</v>
      </c>
      <c r="F140" s="69" t="b">
        <v>0</v>
      </c>
      <c r="G140" s="91"/>
      <c r="H140" s="94"/>
      <c r="I140" s="173"/>
      <c r="J140" s="173"/>
      <c r="K140" s="173"/>
      <c r="L140" s="94"/>
      <c r="M140" s="94"/>
      <c r="N140" s="30" t="str">
        <f>+IF(
COUNTIF(F141:$F$148,TRUE)=1,pu,
IF(
COUNTIF(F141:$F$148,TRUE)&gt;1,pu,""))</f>
        <v xml:space="preserve">. </v>
      </c>
    </row>
    <row r="141" spans="1:15" s="10" customFormat="1" ht="35.1" customHeight="1" thickTop="1" thickBot="1" x14ac:dyDescent="0.3">
      <c r="A141" s="68"/>
      <c r="B141" s="68"/>
      <c r="C141" s="172" t="s">
        <v>221</v>
      </c>
      <c r="D141" s="172"/>
      <c r="E141" s="160" t="s">
        <v>123</v>
      </c>
      <c r="F141" s="69" t="b">
        <f>+IF(E141&gt;"",TRUE,FALSE)</f>
        <v>1</v>
      </c>
      <c r="G141" s="91"/>
      <c r="H141" s="94"/>
      <c r="I141" s="173"/>
      <c r="J141" s="173"/>
      <c r="K141" s="173"/>
      <c r="L141" s="94"/>
      <c r="M141" s="94"/>
      <c r="N141" s="30" t="str">
        <f>+IF(
COUNTIF(F142:$F$148,TRUE)=1,pu,
IF(
COUNTIF(F142:$F$148,TRUE)&gt;1,pu,""))</f>
        <v xml:space="preserve">. </v>
      </c>
    </row>
    <row r="142" spans="1:15" s="10" customFormat="1" ht="35.1" customHeight="1" thickTop="1" thickBot="1" x14ac:dyDescent="0.3">
      <c r="A142" s="68"/>
      <c r="B142" s="59" t="s">
        <v>45</v>
      </c>
      <c r="C142" s="61"/>
      <c r="D142" s="68"/>
      <c r="E142" s="75" t="s">
        <v>104</v>
      </c>
      <c r="F142" s="69" t="b">
        <v>0</v>
      </c>
      <c r="G142" s="91"/>
      <c r="H142" s="94"/>
      <c r="I142" s="173"/>
      <c r="J142" s="173"/>
      <c r="K142" s="173"/>
      <c r="L142" s="94"/>
      <c r="M142" s="94"/>
      <c r="N142" s="30" t="str">
        <f>+IF(
COUNTIF(F143:$F$148,TRUE)=1,pu,
IF(
COUNTIF(F143:$F$148,TRUE)&gt;1,pu,""))</f>
        <v xml:space="preserve">. </v>
      </c>
    </row>
    <row r="143" spans="1:15" s="10" customFormat="1" ht="35.1" customHeight="1" thickTop="1" thickBot="1" x14ac:dyDescent="0.3">
      <c r="A143" s="68"/>
      <c r="B143" s="68"/>
      <c r="C143" s="172" t="s">
        <v>221</v>
      </c>
      <c r="D143" s="172"/>
      <c r="E143" s="160" t="s">
        <v>123</v>
      </c>
      <c r="F143" s="69" t="b">
        <f>+IF(E143&gt;"",TRUE,FALSE)</f>
        <v>1</v>
      </c>
      <c r="G143" s="95"/>
      <c r="H143" s="94"/>
      <c r="I143" s="173"/>
      <c r="J143" s="173"/>
      <c r="K143" s="173"/>
      <c r="L143" s="94"/>
      <c r="M143" s="94"/>
      <c r="N143" s="30" t="str">
        <f>+IF(
COUNTIF(F144:$F$148,TRUE)=1,pu,
IF(
COUNTIF(F144:$F$148,TRUE)&gt;1,pu,""))</f>
        <v/>
      </c>
    </row>
    <row r="144" spans="1:15" s="10" customFormat="1" ht="35.1" customHeight="1" thickTop="1" thickBot="1" x14ac:dyDescent="0.3">
      <c r="A144" s="68"/>
      <c r="B144" s="59" t="s">
        <v>46</v>
      </c>
      <c r="C144" s="61"/>
      <c r="D144" s="68"/>
      <c r="E144" s="75" t="s">
        <v>105</v>
      </c>
      <c r="F144" s="73" t="b">
        <v>0</v>
      </c>
      <c r="G144" s="95"/>
      <c r="H144" s="94"/>
      <c r="I144" s="173"/>
      <c r="J144" s="173"/>
      <c r="K144" s="173"/>
      <c r="L144" s="94"/>
      <c r="M144" s="94"/>
      <c r="N144" s="30" t="str">
        <f>+IF(
COUNTIF(F145:$F$148,TRUE)=1,pu,
IF(
COUNTIF(F145:$F$148,TRUE)&gt;1,pu,""))</f>
        <v/>
      </c>
    </row>
    <row r="145" spans="1:14" s="10" customFormat="1" ht="35.1" customHeight="1" thickTop="1" thickBot="1" x14ac:dyDescent="0.3">
      <c r="A145" s="68"/>
      <c r="B145" s="68"/>
      <c r="C145" s="61"/>
      <c r="D145" s="59"/>
      <c r="E145" s="75" t="s">
        <v>267</v>
      </c>
      <c r="F145" s="69" t="b">
        <v>0</v>
      </c>
      <c r="G145" s="91"/>
      <c r="H145" s="94"/>
      <c r="I145" s="173"/>
      <c r="J145" s="173"/>
      <c r="K145" s="173"/>
      <c r="L145" s="94"/>
      <c r="M145" s="94"/>
      <c r="N145" s="30" t="str">
        <f>+IF(
COUNTIF(F146:$F$148,TRUE)=1,pu,
IF(
COUNTIF(F146:$F$148,TRUE)&gt;1,pu,""))</f>
        <v/>
      </c>
    </row>
    <row r="146" spans="1:14" s="10" customFormat="1" ht="35.1" customHeight="1" thickTop="1" thickBot="1" x14ac:dyDescent="0.3">
      <c r="A146" s="68"/>
      <c r="B146" s="68"/>
      <c r="C146" s="61"/>
      <c r="D146" s="59"/>
      <c r="E146" s="75" t="s">
        <v>268</v>
      </c>
      <c r="F146" s="69" t="b">
        <v>0</v>
      </c>
      <c r="G146" s="91"/>
      <c r="H146" s="94"/>
      <c r="I146" s="173"/>
      <c r="J146" s="173"/>
      <c r="K146" s="173"/>
      <c r="L146" s="94"/>
      <c r="M146" s="94"/>
      <c r="N146" s="30" t="str">
        <f>+IF(
COUNTIF(F147:$F$148,TRUE)=1,pu,
IF(
COUNTIF(F147:$F$148,TRUE)&gt;1,pu,""))</f>
        <v/>
      </c>
    </row>
    <row r="147" spans="1:14" s="10" customFormat="1" ht="35.1" customHeight="1" thickTop="1" thickBot="1" x14ac:dyDescent="0.3">
      <c r="A147" s="68"/>
      <c r="B147" s="68"/>
      <c r="C147" s="61"/>
      <c r="D147" s="59"/>
      <c r="E147" s="75" t="s">
        <v>269</v>
      </c>
      <c r="F147" s="69" t="b">
        <v>0</v>
      </c>
      <c r="G147" s="91"/>
      <c r="H147" s="94"/>
      <c r="I147" s="173"/>
      <c r="J147" s="173"/>
      <c r="K147" s="173"/>
      <c r="L147" s="94"/>
      <c r="M147" s="94"/>
      <c r="N147" s="30" t="str">
        <f>+IF(
COUNTIF(F148:$F$148,TRUE)=1,pu,
IF(
COUNTIF(F148:$F$148,TRUE)&gt;1,pu,""))</f>
        <v/>
      </c>
    </row>
    <row r="148" spans="1:14" s="10" customFormat="1" ht="35.1" customHeight="1" thickTop="1" thickBot="1" x14ac:dyDescent="0.3">
      <c r="A148" s="68"/>
      <c r="B148" s="68"/>
      <c r="C148" s="61"/>
      <c r="D148" s="59"/>
      <c r="E148" s="75"/>
      <c r="F148" s="73"/>
      <c r="G148" s="95"/>
      <c r="H148" s="93"/>
      <c r="I148" s="99"/>
      <c r="J148" s="99"/>
      <c r="K148" s="99"/>
      <c r="L148" s="94"/>
      <c r="M148" s="94"/>
    </row>
    <row r="149" spans="1:14" s="10" customFormat="1" ht="35.1" customHeight="1" thickTop="1" thickBot="1" x14ac:dyDescent="0.3">
      <c r="A149" s="68"/>
      <c r="B149" s="61" t="s">
        <v>47</v>
      </c>
      <c r="C149" s="68"/>
      <c r="D149" s="59"/>
      <c r="E149" s="75" t="s">
        <v>450</v>
      </c>
      <c r="F149" s="69" t="b">
        <v>0</v>
      </c>
      <c r="G149" s="91"/>
      <c r="H149" s="65" t="s">
        <v>375</v>
      </c>
      <c r="I149" s="65" t="s">
        <v>376</v>
      </c>
      <c r="J149" s="65" t="s">
        <v>123</v>
      </c>
      <c r="K149" s="65" t="s">
        <v>123</v>
      </c>
      <c r="L149" s="65" t="str">
        <f ca="1">+OFFSET(F149,0,IF(F149,2,3))</f>
        <v>L'impresa non ha determinato le grandezze patrimoniali.</v>
      </c>
      <c r="M149" s="65" t="str">
        <f ca="1">+OFFSET(F149,0,IF(F149,4,5))</f>
        <v>Aggiungere eventuali commenti</v>
      </c>
    </row>
    <row r="150" spans="1:14" s="10" customFormat="1" ht="35.1" customHeight="1" thickTop="1" thickBot="1" x14ac:dyDescent="0.3">
      <c r="A150" s="68"/>
      <c r="B150" s="61"/>
      <c r="C150" s="68"/>
      <c r="D150" s="59"/>
      <c r="E150" s="75" t="s">
        <v>451</v>
      </c>
      <c r="F150" s="69" t="b">
        <v>0</v>
      </c>
      <c r="G150" s="91"/>
      <c r="H150" s="65" t="s">
        <v>453</v>
      </c>
      <c r="I150" s="65" t="s">
        <v>454</v>
      </c>
      <c r="J150" s="65"/>
      <c r="K150" s="65"/>
      <c r="L150" s="65" t="str">
        <f ca="1">+OFFSET(F150,0,IF(F150,2,3))</f>
        <v>Su di esse non si innestano le poposte alle parti interessate</v>
      </c>
      <c r="M150" s="65">
        <f ca="1">+OFFSET(F150,0,IF(F150,4,5))</f>
        <v>0</v>
      </c>
    </row>
    <row r="151" spans="1:14" s="10" customFormat="1" ht="35.1" customHeight="1" thickTop="1" thickBot="1" x14ac:dyDescent="0.3">
      <c r="A151" s="68"/>
      <c r="B151" s="61"/>
      <c r="C151" s="68"/>
      <c r="D151" s="59"/>
      <c r="E151" s="75" t="s">
        <v>452</v>
      </c>
      <c r="F151" s="69" t="b">
        <v>0</v>
      </c>
      <c r="G151" s="91"/>
      <c r="H151" s="65" t="s">
        <v>455</v>
      </c>
      <c r="I151" s="65" t="s">
        <v>456</v>
      </c>
      <c r="J151" s="65" t="s">
        <v>123</v>
      </c>
      <c r="K151" s="65" t="s">
        <v>123</v>
      </c>
      <c r="L151" s="65" t="str">
        <f ca="1">+OFFSET(F151,0,IF(F151,2,3))</f>
        <v>e non viene calcolata la stima dell’andamento del patrimonio netto al termine dei singoli anni del piano.</v>
      </c>
      <c r="M151" s="65" t="str">
        <f ca="1">+OFFSET(F151,0,IF(F151,4,5))</f>
        <v>Aggiungere eventuali commenti</v>
      </c>
    </row>
    <row r="152" spans="1:14" ht="35.25" hidden="1" customHeight="1" x14ac:dyDescent="0.3">
      <c r="A152" s="88"/>
      <c r="B152" s="88"/>
      <c r="C152" s="88"/>
      <c r="D152" s="88"/>
      <c r="E152" s="89"/>
      <c r="F152" s="90"/>
      <c r="G152" s="39"/>
      <c r="H152" s="103"/>
      <c r="I152" s="103"/>
      <c r="J152" s="103"/>
      <c r="K152" s="103"/>
      <c r="L152" s="104"/>
      <c r="M152" s="104"/>
    </row>
    <row r="153" spans="1:14" ht="50.25" hidden="1" customHeight="1" x14ac:dyDescent="0.3">
      <c r="A153" s="88"/>
      <c r="B153" s="88"/>
      <c r="C153" s="88"/>
      <c r="D153" s="88"/>
      <c r="E153" s="89"/>
      <c r="F153" s="90"/>
      <c r="G153" s="39"/>
      <c r="H153" s="103"/>
      <c r="I153" s="103"/>
      <c r="J153" s="103"/>
      <c r="K153" s="103"/>
      <c r="L153" s="104"/>
      <c r="M153" s="104"/>
    </row>
    <row r="154" spans="1:14" ht="40.5" hidden="1" customHeight="1" x14ac:dyDescent="0.3">
      <c r="A154" s="88"/>
      <c r="B154" s="88"/>
      <c r="C154" s="88"/>
      <c r="D154" s="88"/>
      <c r="E154" s="89"/>
      <c r="F154" s="90"/>
      <c r="G154" s="39"/>
      <c r="H154" s="103"/>
      <c r="I154" s="103"/>
      <c r="J154" s="103"/>
      <c r="K154" s="103"/>
      <c r="L154" s="104"/>
      <c r="M154" s="104"/>
    </row>
    <row r="155" spans="1:14" ht="35.25" hidden="1" customHeight="1" x14ac:dyDescent="0.3">
      <c r="A155" s="88"/>
      <c r="B155" s="88"/>
      <c r="C155" s="88"/>
      <c r="D155" s="88"/>
      <c r="E155" s="89"/>
      <c r="F155" s="90"/>
      <c r="G155" s="39"/>
      <c r="H155" s="103"/>
      <c r="I155" s="103"/>
      <c r="J155" s="103"/>
      <c r="K155" s="103"/>
      <c r="L155" s="104"/>
      <c r="M155" s="104"/>
    </row>
    <row r="156" spans="1:14" ht="35.25" hidden="1" customHeight="1" x14ac:dyDescent="0.3">
      <c r="A156" s="88"/>
      <c r="B156" s="88"/>
      <c r="C156" s="88"/>
      <c r="D156" s="88"/>
      <c r="E156" s="89"/>
      <c r="F156" s="90"/>
      <c r="G156" s="39"/>
      <c r="H156" s="103"/>
      <c r="I156" s="103"/>
      <c r="J156" s="103"/>
      <c r="K156" s="103"/>
      <c r="L156" s="104"/>
      <c r="M156" s="104"/>
    </row>
    <row r="157" spans="1:14" ht="35.25" hidden="1" customHeight="1" x14ac:dyDescent="0.3">
      <c r="A157" s="88"/>
      <c r="B157" s="88"/>
      <c r="C157" s="88"/>
      <c r="D157" s="88"/>
      <c r="E157" s="89"/>
      <c r="F157" s="90"/>
      <c r="G157" s="39"/>
      <c r="H157" s="103"/>
      <c r="I157" s="103"/>
      <c r="J157" s="103"/>
      <c r="K157" s="103"/>
      <c r="L157" s="104"/>
      <c r="M157" s="104"/>
    </row>
    <row r="158" spans="1:14" ht="21.75" customHeight="1" thickTop="1" x14ac:dyDescent="0.3">
      <c r="A158" s="88"/>
      <c r="B158" s="88"/>
      <c r="C158" s="88"/>
      <c r="D158" s="88"/>
      <c r="E158" s="89"/>
      <c r="F158" s="90"/>
      <c r="G158" s="39"/>
      <c r="H158" s="103"/>
      <c r="I158" s="103"/>
      <c r="J158" s="103"/>
      <c r="K158" s="103"/>
      <c r="L158" s="104"/>
      <c r="M158" s="104"/>
    </row>
    <row r="159" spans="1:14" ht="21.75" customHeight="1" x14ac:dyDescent="0.25"/>
  </sheetData>
  <sheetProtection algorithmName="SHA-512" hashValue="77ZTVtsXABRN/Ql/nPWhnvYp1Z8MHwKv0iJmabqLuwJVcwlxYz1PbkSO+8gGcETuEXoqyqL8cxAePwKOD7Otlw==" saltValue="P+mTBVGMTCBdLd5Avq2ssQ==" spinCount="100000" sheet="1" objects="1" scenarios="1" selectLockedCells="1"/>
  <mergeCells count="37">
    <mergeCell ref="I29:K36"/>
    <mergeCell ref="I91:K99"/>
    <mergeCell ref="I111:K112"/>
    <mergeCell ref="I44:K49"/>
    <mergeCell ref="I54:K59"/>
    <mergeCell ref="I38:K43"/>
    <mergeCell ref="I62:K69"/>
    <mergeCell ref="I77:K78"/>
    <mergeCell ref="I79:K80"/>
    <mergeCell ref="C10:D10"/>
    <mergeCell ref="I24:K28"/>
    <mergeCell ref="I22:K23"/>
    <mergeCell ref="I6:K21"/>
    <mergeCell ref="C28:D28"/>
    <mergeCell ref="C120:D120"/>
    <mergeCell ref="C125:D125"/>
    <mergeCell ref="C139:D139"/>
    <mergeCell ref="C141:D141"/>
    <mergeCell ref="I105:K105"/>
    <mergeCell ref="I137:K147"/>
    <mergeCell ref="I124:K125"/>
    <mergeCell ref="I115:K118"/>
    <mergeCell ref="I119:K120"/>
    <mergeCell ref="C143:D143"/>
    <mergeCell ref="C112:D112"/>
    <mergeCell ref="C116:D116"/>
    <mergeCell ref="C118:D118"/>
    <mergeCell ref="C37:D37"/>
    <mergeCell ref="C43:D43"/>
    <mergeCell ref="C53:D53"/>
    <mergeCell ref="C61:D61"/>
    <mergeCell ref="C67:D67"/>
    <mergeCell ref="C70:D70"/>
    <mergeCell ref="C78:D78"/>
    <mergeCell ref="C80:D80"/>
    <mergeCell ref="C101:D101"/>
    <mergeCell ref="C106:D106"/>
  </mergeCells>
  <phoneticPr fontId="4" type="noConversion"/>
  <conditionalFormatting sqref="E10">
    <cfRule type="cellIs" dxfId="179" priority="22" stopIfTrue="1" operator="lessThan">
      <formula>#REF!</formula>
    </cfRule>
  </conditionalFormatting>
  <conditionalFormatting sqref="E28">
    <cfRule type="cellIs" dxfId="178" priority="21" stopIfTrue="1" operator="lessThan">
      <formula>#REF!</formula>
    </cfRule>
  </conditionalFormatting>
  <conditionalFormatting sqref="E37">
    <cfRule type="cellIs" dxfId="177" priority="20" stopIfTrue="1" operator="lessThan">
      <formula>#REF!</formula>
    </cfRule>
  </conditionalFormatting>
  <conditionalFormatting sqref="E43">
    <cfRule type="cellIs" dxfId="176" priority="19" stopIfTrue="1" operator="lessThan">
      <formula>#REF!</formula>
    </cfRule>
  </conditionalFormatting>
  <conditionalFormatting sqref="E53">
    <cfRule type="cellIs" dxfId="175" priority="18" stopIfTrue="1" operator="lessThan">
      <formula>#REF!</formula>
    </cfRule>
  </conditionalFormatting>
  <conditionalFormatting sqref="E61">
    <cfRule type="cellIs" dxfId="174" priority="17" stopIfTrue="1" operator="lessThan">
      <formula>#REF!</formula>
    </cfRule>
  </conditionalFormatting>
  <conditionalFormatting sqref="E67">
    <cfRule type="cellIs" dxfId="173" priority="16" stopIfTrue="1" operator="lessThan">
      <formula>#REF!</formula>
    </cfRule>
  </conditionalFormatting>
  <conditionalFormatting sqref="E70">
    <cfRule type="cellIs" dxfId="172" priority="15" stopIfTrue="1" operator="lessThan">
      <formula>#REF!</formula>
    </cfRule>
  </conditionalFormatting>
  <conditionalFormatting sqref="E78">
    <cfRule type="cellIs" dxfId="171" priority="14" stopIfTrue="1" operator="lessThan">
      <formula>#REF!</formula>
    </cfRule>
  </conditionalFormatting>
  <conditionalFormatting sqref="E80">
    <cfRule type="cellIs" dxfId="170" priority="13" stopIfTrue="1" operator="lessThan">
      <formula>#REF!</formula>
    </cfRule>
  </conditionalFormatting>
  <conditionalFormatting sqref="E101">
    <cfRule type="cellIs" dxfId="169" priority="12" stopIfTrue="1" operator="lessThan">
      <formula>#REF!</formula>
    </cfRule>
  </conditionalFormatting>
  <conditionalFormatting sqref="E106">
    <cfRule type="cellIs" dxfId="168" priority="11" stopIfTrue="1" operator="lessThan">
      <formula>#REF!</formula>
    </cfRule>
  </conditionalFormatting>
  <conditionalFormatting sqref="E112">
    <cfRule type="cellIs" dxfId="167" priority="10" stopIfTrue="1" operator="lessThan">
      <formula>#REF!</formula>
    </cfRule>
  </conditionalFormatting>
  <conditionalFormatting sqref="E116">
    <cfRule type="cellIs" dxfId="166" priority="9" stopIfTrue="1" operator="lessThan">
      <formula>#REF!</formula>
    </cfRule>
  </conditionalFormatting>
  <conditionalFormatting sqref="E118">
    <cfRule type="cellIs" dxfId="165" priority="8" stopIfTrue="1" operator="lessThan">
      <formula>#REF!</formula>
    </cfRule>
  </conditionalFormatting>
  <conditionalFormatting sqref="E120">
    <cfRule type="cellIs" dxfId="164" priority="7" stopIfTrue="1" operator="lessThan">
      <formula>#REF!</formula>
    </cfRule>
  </conditionalFormatting>
  <conditionalFormatting sqref="E125">
    <cfRule type="cellIs" dxfId="163" priority="6" stopIfTrue="1" operator="lessThan">
      <formula>#REF!</formula>
    </cfRule>
  </conditionalFormatting>
  <conditionalFormatting sqref="E139">
    <cfRule type="cellIs" dxfId="162" priority="5" stopIfTrue="1" operator="lessThan">
      <formula>#REF!</formula>
    </cfRule>
  </conditionalFormatting>
  <conditionalFormatting sqref="E141">
    <cfRule type="cellIs" dxfId="161" priority="4" stopIfTrue="1" operator="lessThan">
      <formula>#REF!</formula>
    </cfRule>
  </conditionalFormatting>
  <conditionalFormatting sqref="E143">
    <cfRule type="cellIs" dxfId="160" priority="3" stopIfTrue="1" operator="lessThan">
      <formula>#REF!</formula>
    </cfRule>
  </conditionalFormatting>
  <conditionalFormatting sqref="E12:F21">
    <cfRule type="expression" dxfId="159" priority="114">
      <formula>$F$6=FALSE</formula>
    </cfRule>
  </conditionalFormatting>
  <conditionalFormatting sqref="E114:F115 E117">
    <cfRule type="expression" dxfId="158" priority="43">
      <formula>$F$111=FALSE</formula>
    </cfRule>
  </conditionalFormatting>
  <conditionalFormatting sqref="E108:G110">
    <cfRule type="expression" dxfId="157" priority="137">
      <formula>$F$105=FALSE</formula>
    </cfRule>
  </conditionalFormatting>
  <conditionalFormatting sqref="E126:G126">
    <cfRule type="expression" dxfId="156" priority="130">
      <formula>$F$124=FALSE</formula>
    </cfRule>
  </conditionalFormatting>
  <conditionalFormatting sqref="F10">
    <cfRule type="cellIs" dxfId="155" priority="112" operator="equal">
      <formula>TRUE</formula>
    </cfRule>
    <cfRule type="expression" dxfId="154" priority="111">
      <formula>$F$135=FALSE</formula>
    </cfRule>
    <cfRule type="iconSet" priority="110">
      <iconSet iconSet="3Symbols2">
        <cfvo type="percent" val="0"/>
        <cfvo type="percent" val="33"/>
        <cfvo type="formula" val="#REF!"/>
      </iconSet>
    </cfRule>
    <cfRule type="iconSet" priority="113">
      <iconSet iconSet="3Symbols2">
        <cfvo type="percent" val="0"/>
        <cfvo type="percent" val="33"/>
        <cfvo type="formula" val="#REF!"/>
      </iconSet>
    </cfRule>
  </conditionalFormatting>
  <conditionalFormatting sqref="F28">
    <cfRule type="iconSet" priority="109">
      <iconSet iconSet="3Symbols2">
        <cfvo type="percent" val="0"/>
        <cfvo type="percent" val="33"/>
        <cfvo type="formula" val="#REF!"/>
      </iconSet>
    </cfRule>
    <cfRule type="cellIs" dxfId="153" priority="108" operator="equal">
      <formula>TRUE</formula>
    </cfRule>
    <cfRule type="expression" dxfId="152" priority="107">
      <formula>$F$135=FALSE</formula>
    </cfRule>
    <cfRule type="iconSet" priority="106">
      <iconSet iconSet="3Symbols2">
        <cfvo type="percent" val="0"/>
        <cfvo type="percent" val="33"/>
        <cfvo type="formula" val="#REF!"/>
      </iconSet>
    </cfRule>
  </conditionalFormatting>
  <conditionalFormatting sqref="F37">
    <cfRule type="expression" dxfId="151" priority="103">
      <formula>$F$135=FALSE</formula>
    </cfRule>
    <cfRule type="cellIs" dxfId="150" priority="104" operator="equal">
      <formula>TRUE</formula>
    </cfRule>
    <cfRule type="iconSet" priority="105">
      <iconSet iconSet="3Symbols2">
        <cfvo type="percent" val="0"/>
        <cfvo type="percent" val="33"/>
        <cfvo type="formula" val="#REF!"/>
      </iconSet>
    </cfRule>
    <cfRule type="iconSet" priority="102">
      <iconSet iconSet="3Symbols2">
        <cfvo type="percent" val="0"/>
        <cfvo type="percent" val="33"/>
        <cfvo type="formula" val="#REF!"/>
      </iconSet>
    </cfRule>
  </conditionalFormatting>
  <conditionalFormatting sqref="F43">
    <cfRule type="expression" dxfId="149" priority="95">
      <formula>$F$135=FALSE</formula>
    </cfRule>
    <cfRule type="cellIs" dxfId="148" priority="96" operator="equal">
      <formula>TRUE</formula>
    </cfRule>
    <cfRule type="iconSet" priority="97">
      <iconSet iconSet="3Symbols2">
        <cfvo type="percent" val="0"/>
        <cfvo type="percent" val="33"/>
        <cfvo type="formula" val="#REF!"/>
      </iconSet>
    </cfRule>
    <cfRule type="iconSet" priority="94">
      <iconSet iconSet="3Symbols2">
        <cfvo type="percent" val="0"/>
        <cfvo type="percent" val="33"/>
        <cfvo type="formula" val="#REF!"/>
      </iconSet>
    </cfRule>
  </conditionalFormatting>
  <conditionalFormatting sqref="F53">
    <cfRule type="iconSet" priority="86">
      <iconSet iconSet="3Symbols2">
        <cfvo type="percent" val="0"/>
        <cfvo type="percent" val="33"/>
        <cfvo type="formula" val="#REF!"/>
      </iconSet>
    </cfRule>
    <cfRule type="expression" dxfId="147" priority="87">
      <formula>$F$135=FALSE</formula>
    </cfRule>
    <cfRule type="cellIs" dxfId="146" priority="88" operator="equal">
      <formula>TRUE</formula>
    </cfRule>
    <cfRule type="iconSet" priority="89">
      <iconSet iconSet="3Symbols2">
        <cfvo type="percent" val="0"/>
        <cfvo type="percent" val="33"/>
        <cfvo type="formula" val="#REF!"/>
      </iconSet>
    </cfRule>
  </conditionalFormatting>
  <conditionalFormatting sqref="F61">
    <cfRule type="expression" dxfId="145" priority="83">
      <formula>$F$135=FALSE</formula>
    </cfRule>
    <cfRule type="iconSet" priority="82">
      <iconSet iconSet="3Symbols2">
        <cfvo type="percent" val="0"/>
        <cfvo type="percent" val="33"/>
        <cfvo type="formula" val="#REF!"/>
      </iconSet>
    </cfRule>
    <cfRule type="iconSet" priority="85">
      <iconSet iconSet="3Symbols2">
        <cfvo type="percent" val="0"/>
        <cfvo type="percent" val="33"/>
        <cfvo type="formula" val="#REF!"/>
      </iconSet>
    </cfRule>
    <cfRule type="cellIs" dxfId="144" priority="84" operator="equal">
      <formula>TRUE</formula>
    </cfRule>
  </conditionalFormatting>
  <conditionalFormatting sqref="F63:F66">
    <cfRule type="cellIs" dxfId="143" priority="203" operator="equal">
      <formula>TRUE</formula>
    </cfRule>
  </conditionalFormatting>
  <conditionalFormatting sqref="F67">
    <cfRule type="cellIs" dxfId="142" priority="80" operator="equal">
      <formula>TRUE</formula>
    </cfRule>
    <cfRule type="iconSet" priority="81">
      <iconSet iconSet="3Symbols2">
        <cfvo type="percent" val="0"/>
        <cfvo type="percent" val="33"/>
        <cfvo type="formula" val="#REF!"/>
      </iconSet>
    </cfRule>
    <cfRule type="expression" dxfId="141" priority="79">
      <formula>$F$135=FALSE</formula>
    </cfRule>
    <cfRule type="iconSet" priority="78">
      <iconSet iconSet="3Symbols2">
        <cfvo type="percent" val="0"/>
        <cfvo type="percent" val="33"/>
        <cfvo type="formula" val="#REF!"/>
      </iconSet>
    </cfRule>
  </conditionalFormatting>
  <conditionalFormatting sqref="F70">
    <cfRule type="cellIs" dxfId="140" priority="76" operator="equal">
      <formula>TRUE</formula>
    </cfRule>
    <cfRule type="iconSet" priority="77">
      <iconSet iconSet="3Symbols2">
        <cfvo type="percent" val="0"/>
        <cfvo type="percent" val="33"/>
        <cfvo type="formula" val="#REF!"/>
      </iconSet>
    </cfRule>
    <cfRule type="expression" dxfId="139" priority="75">
      <formula>$F$135=FALSE</formula>
    </cfRule>
    <cfRule type="iconSet" priority="74">
      <iconSet iconSet="3Symbols2">
        <cfvo type="percent" val="0"/>
        <cfvo type="percent" val="33"/>
        <cfvo type="formula" val="#REF!"/>
      </iconSet>
    </cfRule>
  </conditionalFormatting>
  <conditionalFormatting sqref="F78">
    <cfRule type="iconSet" priority="71">
      <iconSet iconSet="3Symbols2">
        <cfvo type="percent" val="0"/>
        <cfvo type="percent" val="33"/>
        <cfvo type="formula" val="#REF!"/>
      </iconSet>
    </cfRule>
    <cfRule type="cellIs" dxfId="138" priority="70" operator="equal">
      <formula>TRUE</formula>
    </cfRule>
    <cfRule type="expression" dxfId="137" priority="69">
      <formula>$F$135=FALSE</formula>
    </cfRule>
    <cfRule type="iconSet" priority="68">
      <iconSet iconSet="3Symbols2">
        <cfvo type="percent" val="0"/>
        <cfvo type="percent" val="33"/>
        <cfvo type="formula" val="#REF!"/>
      </iconSet>
    </cfRule>
  </conditionalFormatting>
  <conditionalFormatting sqref="F80">
    <cfRule type="cellIs" dxfId="136" priority="66" operator="equal">
      <formula>TRUE</formula>
    </cfRule>
    <cfRule type="iconSet" priority="67">
      <iconSet iconSet="3Symbols2">
        <cfvo type="percent" val="0"/>
        <cfvo type="percent" val="33"/>
        <cfvo type="formula" val="#REF!"/>
      </iconSet>
    </cfRule>
    <cfRule type="iconSet" priority="64">
      <iconSet iconSet="3Symbols2">
        <cfvo type="percent" val="0"/>
        <cfvo type="percent" val="33"/>
        <cfvo type="formula" val="#REF!"/>
      </iconSet>
    </cfRule>
    <cfRule type="expression" dxfId="135" priority="65">
      <formula>$F$135=FALSE</formula>
    </cfRule>
  </conditionalFormatting>
  <conditionalFormatting sqref="F101">
    <cfRule type="iconSet" priority="59">
      <iconSet iconSet="3Symbols2">
        <cfvo type="percent" val="0"/>
        <cfvo type="percent" val="33"/>
        <cfvo type="formula" val="#REF!"/>
      </iconSet>
    </cfRule>
    <cfRule type="expression" dxfId="134" priority="57">
      <formula>$F$135=FALSE</formula>
    </cfRule>
    <cfRule type="iconSet" priority="56">
      <iconSet iconSet="3Symbols2">
        <cfvo type="percent" val="0"/>
        <cfvo type="percent" val="33"/>
        <cfvo type="formula" val="#REF!"/>
      </iconSet>
    </cfRule>
    <cfRule type="cellIs" dxfId="133" priority="58" operator="equal">
      <formula>TRUE</formula>
    </cfRule>
  </conditionalFormatting>
  <conditionalFormatting sqref="F106">
    <cfRule type="expression" dxfId="132" priority="53">
      <formula>$F$135=FALSE</formula>
    </cfRule>
    <cfRule type="iconSet" priority="52">
      <iconSet iconSet="3Symbols2">
        <cfvo type="percent" val="0"/>
        <cfvo type="percent" val="33"/>
        <cfvo type="formula" val="#REF!"/>
      </iconSet>
    </cfRule>
    <cfRule type="iconSet" priority="55">
      <iconSet iconSet="3Symbols2">
        <cfvo type="percent" val="0"/>
        <cfvo type="percent" val="33"/>
        <cfvo type="formula" val="#REF!"/>
      </iconSet>
    </cfRule>
    <cfRule type="cellIs" dxfId="131" priority="54" operator="equal">
      <formula>TRUE</formula>
    </cfRule>
  </conditionalFormatting>
  <conditionalFormatting sqref="F112">
    <cfRule type="cellIs" dxfId="130" priority="50" operator="equal">
      <formula>TRUE</formula>
    </cfRule>
    <cfRule type="expression" dxfId="129" priority="49">
      <formula>$F$135=FALSE</formula>
    </cfRule>
    <cfRule type="iconSet" priority="48">
      <iconSet iconSet="3Symbols2">
        <cfvo type="percent" val="0"/>
        <cfvo type="percent" val="33"/>
        <cfvo type="formula" val="#REF!"/>
      </iconSet>
    </cfRule>
    <cfRule type="iconSet" priority="51">
      <iconSet iconSet="3Symbols2">
        <cfvo type="percent" val="0"/>
        <cfvo type="percent" val="33"/>
        <cfvo type="formula" val="#REF!"/>
      </iconSet>
    </cfRule>
  </conditionalFormatting>
  <conditionalFormatting sqref="F114">
    <cfRule type="expression" dxfId="128" priority="132">
      <formula>$F$114=TRUE</formula>
    </cfRule>
    <cfRule type="iconSet" priority="156">
      <iconSet iconSet="3Symbols2">
        <cfvo type="percent" val="0"/>
        <cfvo type="percent" val="33"/>
        <cfvo type="formula" val="#REF!"/>
      </iconSet>
    </cfRule>
    <cfRule type="cellIs" dxfId="127" priority="155" operator="equal">
      <formula>TRUE</formula>
    </cfRule>
  </conditionalFormatting>
  <conditionalFormatting sqref="F116">
    <cfRule type="expression" dxfId="126" priority="45">
      <formula>$F$135=FALSE</formula>
    </cfRule>
    <cfRule type="cellIs" dxfId="125" priority="46" operator="equal">
      <formula>TRUE</formula>
    </cfRule>
    <cfRule type="iconSet" priority="47">
      <iconSet iconSet="3Symbols2">
        <cfvo type="percent" val="0"/>
        <cfvo type="percent" val="33"/>
        <cfvo type="formula" val="#REF!"/>
      </iconSet>
    </cfRule>
    <cfRule type="iconSet" priority="44">
      <iconSet iconSet="3Symbols2">
        <cfvo type="percent" val="0"/>
        <cfvo type="percent" val="33"/>
        <cfvo type="formula" val="#REF!"/>
      </iconSet>
    </cfRule>
  </conditionalFormatting>
  <conditionalFormatting sqref="F116:F120">
    <cfRule type="expression" dxfId="124" priority="38">
      <formula>$F$111=FALSE</formula>
    </cfRule>
  </conditionalFormatting>
  <conditionalFormatting sqref="F118">
    <cfRule type="expression" dxfId="123" priority="35">
      <formula>$F$135=FALSE</formula>
    </cfRule>
    <cfRule type="iconSet" priority="37">
      <iconSet iconSet="3Symbols2">
        <cfvo type="percent" val="0"/>
        <cfvo type="percent" val="33"/>
        <cfvo type="formula" val="#REF!"/>
      </iconSet>
    </cfRule>
    <cfRule type="cellIs" dxfId="122" priority="36" operator="equal">
      <formula>TRUE</formula>
    </cfRule>
    <cfRule type="iconSet" priority="34">
      <iconSet iconSet="3Symbols2">
        <cfvo type="percent" val="0"/>
        <cfvo type="percent" val="33"/>
        <cfvo type="formula" val="#REF!"/>
      </iconSet>
    </cfRule>
  </conditionalFormatting>
  <conditionalFormatting sqref="F120">
    <cfRule type="iconSet" priority="42">
      <iconSet iconSet="3Symbols2">
        <cfvo type="percent" val="0"/>
        <cfvo type="percent" val="33"/>
        <cfvo type="formula" val="#REF!"/>
      </iconSet>
    </cfRule>
    <cfRule type="cellIs" dxfId="121" priority="41" operator="equal">
      <formula>TRUE</formula>
    </cfRule>
    <cfRule type="expression" dxfId="120" priority="40">
      <formula>$F$135=FALSE</formula>
    </cfRule>
    <cfRule type="iconSet" priority="39">
      <iconSet iconSet="3Symbols2">
        <cfvo type="percent" val="0"/>
        <cfvo type="percent" val="33"/>
        <cfvo type="formula" val="#REF!"/>
      </iconSet>
    </cfRule>
  </conditionalFormatting>
  <conditionalFormatting sqref="F124:F125">
    <cfRule type="expression" dxfId="119" priority="29">
      <formula>$F$111=FALSE</formula>
    </cfRule>
  </conditionalFormatting>
  <conditionalFormatting sqref="F125">
    <cfRule type="iconSet" priority="33">
      <iconSet iconSet="3Symbols2">
        <cfvo type="percent" val="0"/>
        <cfvo type="percent" val="33"/>
        <cfvo type="formula" val="#REF!"/>
      </iconSet>
    </cfRule>
    <cfRule type="expression" dxfId="118" priority="31">
      <formula>$F$135=FALSE</formula>
    </cfRule>
    <cfRule type="iconSet" priority="30">
      <iconSet iconSet="3Symbols2">
        <cfvo type="percent" val="0"/>
        <cfvo type="percent" val="33"/>
        <cfvo type="formula" val="#REF!"/>
      </iconSet>
    </cfRule>
    <cfRule type="cellIs" dxfId="117" priority="32" operator="equal">
      <formula>TRUE</formula>
    </cfRule>
  </conditionalFormatting>
  <conditionalFormatting sqref="F137">
    <cfRule type="cellIs" dxfId="116" priority="27" operator="equal">
      <formula>TRUE</formula>
    </cfRule>
    <cfRule type="iconSet" priority="28">
      <iconSet iconSet="3Symbols2">
        <cfvo type="percent" val="0"/>
        <cfvo type="percent" val="33"/>
        <cfvo type="formula" val="#REF!"/>
      </iconSet>
    </cfRule>
  </conditionalFormatting>
  <conditionalFormatting sqref="F143">
    <cfRule type="iconSet" priority="124">
      <iconSet iconSet="3Symbols2">
        <cfvo type="percent" val="0"/>
        <cfvo type="percent" val="33"/>
        <cfvo type="formula" val="#REF!"/>
      </iconSet>
    </cfRule>
  </conditionalFormatting>
  <conditionalFormatting sqref="F1:G1">
    <cfRule type="cellIs" dxfId="115" priority="127" operator="equal">
      <formula>TRUE</formula>
    </cfRule>
  </conditionalFormatting>
  <conditionalFormatting sqref="F4:G4">
    <cfRule type="cellIs" dxfId="114" priority="2" operator="equal">
      <formula>TRUE</formula>
    </cfRule>
    <cfRule type="iconSet" priority="168">
      <iconSet iconSet="3Symbols2">
        <cfvo type="percent" val="0"/>
        <cfvo type="percent" val="33"/>
        <cfvo type="formula" val="#REF!"/>
      </iconSet>
    </cfRule>
  </conditionalFormatting>
  <conditionalFormatting sqref="F6:G6">
    <cfRule type="iconSet" priority="206">
      <iconSet iconSet="3Symbols2">
        <cfvo type="percent" val="0"/>
        <cfvo type="percent" val="33"/>
        <cfvo type="formula" val="#REF!"/>
      </iconSet>
    </cfRule>
  </conditionalFormatting>
  <conditionalFormatting sqref="F7:G9 G10">
    <cfRule type="iconSet" priority="291">
      <iconSet iconSet="3Symbols2">
        <cfvo type="percent" val="0"/>
        <cfvo type="percent" val="33"/>
        <cfvo type="formula" val="#REF!"/>
      </iconSet>
    </cfRule>
  </conditionalFormatting>
  <conditionalFormatting sqref="F12:G21 F7:G9 G10">
    <cfRule type="cellIs" dxfId="113" priority="205" operator="equal">
      <formula>TRUE</formula>
    </cfRule>
  </conditionalFormatting>
  <conditionalFormatting sqref="F23:G27 F11:G21 G28 F29:G36 F38:G38 G37">
    <cfRule type="iconSet" priority="316">
      <iconSet iconSet="3Symbols2">
        <cfvo type="percent" val="0"/>
        <cfvo type="percent" val="33"/>
        <cfvo type="formula" val="#REF!"/>
      </iconSet>
    </cfRule>
  </conditionalFormatting>
  <conditionalFormatting sqref="F24:G27 F30:G36 G37">
    <cfRule type="cellIs" dxfId="112" priority="292" operator="equal">
      <formula>TRUE</formula>
    </cfRule>
  </conditionalFormatting>
  <conditionalFormatting sqref="F39:G42">
    <cfRule type="iconSet" priority="227">
      <iconSet iconSet="3Symbols2">
        <cfvo type="percent" val="0"/>
        <cfvo type="percent" val="33"/>
        <cfvo type="formula" val="#REF!"/>
      </iconSet>
    </cfRule>
    <cfRule type="cellIs" dxfId="111" priority="226" operator="equal">
      <formula>TRUE</formula>
    </cfRule>
  </conditionalFormatting>
  <conditionalFormatting sqref="F44:G44">
    <cfRule type="iconSet" priority="212">
      <iconSet iconSet="3Symbols2">
        <cfvo type="percent" val="0"/>
        <cfvo type="percent" val="33"/>
        <cfvo type="formula" val="#REF!"/>
      </iconSet>
    </cfRule>
  </conditionalFormatting>
  <conditionalFormatting sqref="F45:G52">
    <cfRule type="cellIs" dxfId="110" priority="143" operator="equal">
      <formula>TRUE</formula>
    </cfRule>
    <cfRule type="iconSet" priority="144">
      <iconSet iconSet="3Symbols2">
        <cfvo type="percent" val="0"/>
        <cfvo type="percent" val="33"/>
        <cfvo type="formula" val="#REF!"/>
      </iconSet>
    </cfRule>
  </conditionalFormatting>
  <conditionalFormatting sqref="F54:G54">
    <cfRule type="iconSet" priority="210">
      <iconSet iconSet="3Symbols2">
        <cfvo type="percent" val="0"/>
        <cfvo type="percent" val="33"/>
        <cfvo type="formula" val="#REF!"/>
      </iconSet>
    </cfRule>
  </conditionalFormatting>
  <conditionalFormatting sqref="F55:G60">
    <cfRule type="cellIs" dxfId="109" priority="209" operator="equal">
      <formula>TRUE</formula>
    </cfRule>
    <cfRule type="iconSet" priority="223">
      <iconSet iconSet="3Symbols2">
        <cfvo type="percent" val="0"/>
        <cfvo type="percent" val="33"/>
        <cfvo type="formula" val="#REF!"/>
      </iconSet>
    </cfRule>
  </conditionalFormatting>
  <conditionalFormatting sqref="F62:G62">
    <cfRule type="iconSet" priority="204">
      <iconSet iconSet="3Symbols2">
        <cfvo type="percent" val="0"/>
        <cfvo type="percent" val="33"/>
        <cfvo type="formula" val="#REF!"/>
      </iconSet>
    </cfRule>
  </conditionalFormatting>
  <conditionalFormatting sqref="F69:G69 G70">
    <cfRule type="cellIs" dxfId="108" priority="221" operator="equal">
      <formula>TRUE</formula>
    </cfRule>
    <cfRule type="cellIs" dxfId="107" priority="216" operator="equal">
      <formula>TRUE</formula>
    </cfRule>
  </conditionalFormatting>
  <conditionalFormatting sqref="F69:G69">
    <cfRule type="expression" dxfId="106" priority="142">
      <formula>$F$62=FALSE</formula>
    </cfRule>
  </conditionalFormatting>
  <conditionalFormatting sqref="F72:G76 F81:G83 F85:G87">
    <cfRule type="cellIs" dxfId="105" priority="201" operator="equal">
      <formula>TRUE</formula>
    </cfRule>
  </conditionalFormatting>
  <conditionalFormatting sqref="F85:G87 F72:G76 G88 F81:G83">
    <cfRule type="iconSet" priority="202">
      <iconSet iconSet="3Symbols2">
        <cfvo type="percent" val="0"/>
        <cfvo type="percent" val="33"/>
        <cfvo type="formula" val="#REF!"/>
      </iconSet>
    </cfRule>
  </conditionalFormatting>
  <conditionalFormatting sqref="F90:G90">
    <cfRule type="iconSet" priority="182">
      <iconSet iconSet="3Symbols2">
        <cfvo type="percent" val="0"/>
        <cfvo type="percent" val="33"/>
        <cfvo type="formula" val="#REF!"/>
      </iconSet>
    </cfRule>
  </conditionalFormatting>
  <conditionalFormatting sqref="F91:G91">
    <cfRule type="iconSet" priority="200">
      <iconSet iconSet="3Symbols2">
        <cfvo type="percent" val="0"/>
        <cfvo type="percent" val="33"/>
        <cfvo type="formula" val="#REF!"/>
      </iconSet>
    </cfRule>
  </conditionalFormatting>
  <conditionalFormatting sqref="F91:G100">
    <cfRule type="cellIs" dxfId="104" priority="125" operator="equal">
      <formula>TRUE</formula>
    </cfRule>
  </conditionalFormatting>
  <conditionalFormatting sqref="F92:G92">
    <cfRule type="iconSet" priority="198">
      <iconSet iconSet="3Symbols2">
        <cfvo type="percent" val="0"/>
        <cfvo type="percent" val="33"/>
        <cfvo type="formula" val="#REF!"/>
      </iconSet>
    </cfRule>
  </conditionalFormatting>
  <conditionalFormatting sqref="F93:G93">
    <cfRule type="iconSet" priority="196">
      <iconSet iconSet="3Symbols2">
        <cfvo type="percent" val="0"/>
        <cfvo type="percent" val="33"/>
        <cfvo type="formula" val="#REF!"/>
      </iconSet>
    </cfRule>
  </conditionalFormatting>
  <conditionalFormatting sqref="F94:G94">
    <cfRule type="iconSet" priority="194">
      <iconSet iconSet="3Symbols2">
        <cfvo type="percent" val="0"/>
        <cfvo type="percent" val="33"/>
        <cfvo type="formula" val="#REF!"/>
      </iconSet>
    </cfRule>
  </conditionalFormatting>
  <conditionalFormatting sqref="F95:G95">
    <cfRule type="iconSet" priority="192">
      <iconSet iconSet="3Symbols2">
        <cfvo type="percent" val="0"/>
        <cfvo type="percent" val="33"/>
        <cfvo type="formula" val="#REF!"/>
      </iconSet>
    </cfRule>
  </conditionalFormatting>
  <conditionalFormatting sqref="F96:G96">
    <cfRule type="iconSet" priority="190">
      <iconSet iconSet="3Symbols2">
        <cfvo type="percent" val="0"/>
        <cfvo type="percent" val="33"/>
        <cfvo type="formula" val="#REF!"/>
      </iconSet>
    </cfRule>
  </conditionalFormatting>
  <conditionalFormatting sqref="F97:G97">
    <cfRule type="iconSet" priority="188">
      <iconSet iconSet="3Symbols2">
        <cfvo type="percent" val="0"/>
        <cfvo type="percent" val="33"/>
        <cfvo type="formula" val="#REF!"/>
      </iconSet>
    </cfRule>
  </conditionalFormatting>
  <conditionalFormatting sqref="F98:G98">
    <cfRule type="iconSet" priority="186">
      <iconSet iconSet="3Symbols2">
        <cfvo type="percent" val="0"/>
        <cfvo type="percent" val="33"/>
        <cfvo type="formula" val="#REF!"/>
      </iconSet>
    </cfRule>
  </conditionalFormatting>
  <conditionalFormatting sqref="F103:G103">
    <cfRule type="cellIs" dxfId="103" priority="165" operator="equal">
      <formula>TRUE</formula>
    </cfRule>
  </conditionalFormatting>
  <conditionalFormatting sqref="F108:G108">
    <cfRule type="iconSet" priority="337">
      <iconSet iconSet="3Symbols2">
        <cfvo type="percent" val="0"/>
        <cfvo type="percent" val="33"/>
        <cfvo type="formula" val="#REF!"/>
      </iconSet>
    </cfRule>
  </conditionalFormatting>
  <conditionalFormatting sqref="F108:G110">
    <cfRule type="cellIs" dxfId="102" priority="159" operator="equal">
      <formula>TRUE</formula>
    </cfRule>
  </conditionalFormatting>
  <conditionalFormatting sqref="F109:G109">
    <cfRule type="iconSet" priority="332">
      <iconSet iconSet="3Symbols2">
        <cfvo type="percent" val="0"/>
        <cfvo type="percent" val="33"/>
        <cfvo type="formula" val="#REF!"/>
      </iconSet>
    </cfRule>
  </conditionalFormatting>
  <conditionalFormatting sqref="F110:G110">
    <cfRule type="iconSet" priority="160">
      <iconSet iconSet="3Symbols2">
        <cfvo type="percent" val="0"/>
        <cfvo type="percent" val="33"/>
        <cfvo type="formula" val="#REF!"/>
      </iconSet>
    </cfRule>
  </conditionalFormatting>
  <conditionalFormatting sqref="F122:G123 G124">
    <cfRule type="cellIs" dxfId="101" priority="174" operator="equal">
      <formula>TRUE</formula>
    </cfRule>
    <cfRule type="iconSet" priority="175">
      <iconSet iconSet="3Symbols2">
        <cfvo type="percent" val="0"/>
        <cfvo type="percent" val="33"/>
        <cfvo type="formula" val="#REF!"/>
      </iconSet>
    </cfRule>
  </conditionalFormatting>
  <conditionalFormatting sqref="F122:G123">
    <cfRule type="expression" dxfId="100" priority="133">
      <formula>$F$119=FALSE</formula>
    </cfRule>
  </conditionalFormatting>
  <conditionalFormatting sqref="F126:G136">
    <cfRule type="cellIs" dxfId="99" priority="172" operator="equal">
      <formula>TRUE</formula>
    </cfRule>
    <cfRule type="iconSet" priority="173">
      <iconSet iconSet="3Symbols2">
        <cfvo type="percent" val="0"/>
        <cfvo type="percent" val="33"/>
        <cfvo type="formula" val="#REF!"/>
      </iconSet>
    </cfRule>
  </conditionalFormatting>
  <conditionalFormatting sqref="F134:G134">
    <cfRule type="expression" dxfId="98" priority="129">
      <formula>$F$133=FALSE</formula>
    </cfRule>
  </conditionalFormatting>
  <conditionalFormatting sqref="F137:G137">
    <cfRule type="iconSet" priority="253">
      <iconSet iconSet="3Symbols2">
        <cfvo type="percent" val="0"/>
        <cfvo type="percent" val="33"/>
        <cfvo type="formula" val="#REF!"/>
      </iconSet>
    </cfRule>
  </conditionalFormatting>
  <conditionalFormatting sqref="F137:G147">
    <cfRule type="expression" dxfId="97" priority="128">
      <formula>$F$135=FALSE</formula>
    </cfRule>
  </conditionalFormatting>
  <conditionalFormatting sqref="F138:G142">
    <cfRule type="iconSet" priority="154">
      <iconSet iconSet="3Symbols2">
        <cfvo type="percent" val="0"/>
        <cfvo type="percent" val="33"/>
        <cfvo type="formula" val="#REF!"/>
      </iconSet>
    </cfRule>
  </conditionalFormatting>
  <conditionalFormatting sqref="F138:G150">
    <cfRule type="cellIs" dxfId="96" priority="145" operator="equal">
      <formula>TRUE</formula>
    </cfRule>
  </conditionalFormatting>
  <conditionalFormatting sqref="F143:G143">
    <cfRule type="iconSet" priority="171">
      <iconSet iconSet="3Symbols2">
        <cfvo type="percent" val="0"/>
        <cfvo type="percent" val="33"/>
        <cfvo type="formula" val="#REF!"/>
      </iconSet>
    </cfRule>
  </conditionalFormatting>
  <conditionalFormatting sqref="F144:G144 F148:G148">
    <cfRule type="iconSet" priority="247">
      <iconSet iconSet="3Symbols2">
        <cfvo type="percent" val="0"/>
        <cfvo type="percent" val="33"/>
        <cfvo type="formula" val="#REF!"/>
      </iconSet>
    </cfRule>
  </conditionalFormatting>
  <conditionalFormatting sqref="F145:G145">
    <cfRule type="iconSet" priority="152">
      <iconSet iconSet="3Symbols2">
        <cfvo type="percent" val="0"/>
        <cfvo type="percent" val="33"/>
        <cfvo type="formula" val="#REF!"/>
      </iconSet>
    </cfRule>
  </conditionalFormatting>
  <conditionalFormatting sqref="F146:G146">
    <cfRule type="iconSet" priority="150">
      <iconSet iconSet="3Symbols2">
        <cfvo type="percent" val="0"/>
        <cfvo type="percent" val="33"/>
        <cfvo type="formula" val="#REF!"/>
      </iconSet>
    </cfRule>
  </conditionalFormatting>
  <conditionalFormatting sqref="F147:G147">
    <cfRule type="iconSet" priority="148">
      <iconSet iconSet="3Symbols2">
        <cfvo type="percent" val="0"/>
        <cfvo type="percent" val="33"/>
        <cfvo type="formula" val="#REF!"/>
      </iconSet>
    </cfRule>
  </conditionalFormatting>
  <conditionalFormatting sqref="F149:G149">
    <cfRule type="iconSet" priority="146">
      <iconSet iconSet="3Symbols2">
        <cfvo type="percent" val="0"/>
        <cfvo type="percent" val="33"/>
        <cfvo type="formula" val="#REF!"/>
      </iconSet>
    </cfRule>
  </conditionalFormatting>
  <conditionalFormatting sqref="F150:G150">
    <cfRule type="iconSet" priority="119">
      <iconSet iconSet="3Symbols2">
        <cfvo type="percent" val="0"/>
        <cfvo type="percent" val="33"/>
        <cfvo type="formula" val="#REF!"/>
      </iconSet>
    </cfRule>
  </conditionalFormatting>
  <conditionalFormatting sqref="F151:G151">
    <cfRule type="iconSet" priority="118">
      <iconSet iconSet="3Symbols2">
        <cfvo type="percent" val="0"/>
        <cfvo type="percent" val="33"/>
        <cfvo type="formula" val="#REF!"/>
      </iconSet>
    </cfRule>
    <cfRule type="cellIs" dxfId="95" priority="117" operator="equal">
      <formula>TRUE</formula>
    </cfRule>
  </conditionalFormatting>
  <conditionalFormatting sqref="G43">
    <cfRule type="iconSet" priority="214">
      <iconSet iconSet="3Symbols2">
        <cfvo type="percent" val="0"/>
        <cfvo type="percent" val="33"/>
        <cfvo type="formula" val="#REF!"/>
      </iconSet>
    </cfRule>
  </conditionalFormatting>
  <conditionalFormatting sqref="G53">
    <cfRule type="iconSet" priority="225">
      <iconSet iconSet="3Symbols2">
        <cfvo type="percent" val="0"/>
        <cfvo type="percent" val="33"/>
        <cfvo type="formula" val="#REF!"/>
      </iconSet>
    </cfRule>
  </conditionalFormatting>
  <conditionalFormatting sqref="G61">
    <cfRule type="iconSet" priority="208">
      <iconSet iconSet="3Symbols2">
        <cfvo type="percent" val="0"/>
        <cfvo type="percent" val="33"/>
        <cfvo type="formula" val="#REF!"/>
      </iconSet>
    </cfRule>
  </conditionalFormatting>
  <conditionalFormatting sqref="G78">
    <cfRule type="cellIs" dxfId="94" priority="140" operator="equal">
      <formula>TRUE</formula>
    </cfRule>
    <cfRule type="cellIs" dxfId="93" priority="141" operator="equal">
      <formula>TRUE</formula>
    </cfRule>
  </conditionalFormatting>
  <conditionalFormatting sqref="G80">
    <cfRule type="cellIs" dxfId="92" priority="139" operator="equal">
      <formula>TRUE</formula>
    </cfRule>
    <cfRule type="cellIs" dxfId="91" priority="138" operator="equal">
      <formula>TRUE</formula>
    </cfRule>
  </conditionalFormatting>
  <conditionalFormatting sqref="G88">
    <cfRule type="cellIs" dxfId="90" priority="1" operator="equal">
      <formula>TRUE</formula>
    </cfRule>
  </conditionalFormatting>
  <conditionalFormatting sqref="G105">
    <cfRule type="iconSet" priority="179">
      <iconSet iconSet="3Symbols2">
        <cfvo type="percent" val="0"/>
        <cfvo type="percent" val="33"/>
        <cfvo type="formula" val="#REF!"/>
      </iconSet>
    </cfRule>
    <cfRule type="cellIs" dxfId="89" priority="178" operator="equal">
      <formula>TRUE</formula>
    </cfRule>
  </conditionalFormatting>
  <conditionalFormatting sqref="G111">
    <cfRule type="iconSet" priority="136">
      <iconSet iconSet="3Symbols2">
        <cfvo type="percent" val="0"/>
        <cfvo type="percent" val="33"/>
        <cfvo type="formula" val="#REF!"/>
      </iconSet>
    </cfRule>
    <cfRule type="cellIs" dxfId="88" priority="135" operator="equal">
      <formula>TRUE</formula>
    </cfRule>
  </conditionalFormatting>
  <conditionalFormatting sqref="G115 G117 F103:G103 F99:G100 G101">
    <cfRule type="iconSet" priority="324">
      <iconSet iconSet="3Symbols2">
        <cfvo type="percent" val="0"/>
        <cfvo type="percent" val="33"/>
        <cfvo type="formula" val="#REF!"/>
      </iconSet>
    </cfRule>
  </conditionalFormatting>
  <conditionalFormatting sqref="G119">
    <cfRule type="iconSet" priority="177">
      <iconSet iconSet="3Symbols2">
        <cfvo type="percent" val="0"/>
        <cfvo type="percent" val="33"/>
        <cfvo type="formula" val="#REF!"/>
      </iconSet>
    </cfRule>
    <cfRule type="cellIs" dxfId="87" priority="176" operator="equal">
      <formula>TRUE</formula>
    </cfRule>
  </conditionalFormatting>
  <pageMargins left="0.7" right="0.7" top="0.75" bottom="0.75" header="0.3" footer="0.3"/>
  <pageSetup paperSize="9" orientation="portrait" horizontalDpi="200" verticalDpi="200" r:id="rId1"/>
  <drawing r:id="rId2"/>
  <legacyDrawing r:id="rId3"/>
  <mc:AlternateContent xmlns:mc="http://schemas.openxmlformats.org/markup-compatibility/2006">
    <mc:Choice Requires="x14">
      <controls>
        <mc:AlternateContent xmlns:mc="http://schemas.openxmlformats.org/markup-compatibility/2006">
          <mc:Choice Requires="x14">
            <control shapeId="7181" r:id="rId4" name="Check Box 13">
              <controlPr defaultSize="0" autoFill="0" autoLine="0" autoPict="0">
                <anchor moveWithCells="1">
                  <from>
                    <xdr:col>5</xdr:col>
                    <xdr:colOff>38100</xdr:colOff>
                    <xdr:row>6</xdr:row>
                    <xdr:rowOff>38100</xdr:rowOff>
                  </from>
                  <to>
                    <xdr:col>5</xdr:col>
                    <xdr:colOff>257175</xdr:colOff>
                    <xdr:row>6</xdr:row>
                    <xdr:rowOff>238125</xdr:rowOff>
                  </to>
                </anchor>
              </controlPr>
            </control>
          </mc:Choice>
        </mc:AlternateContent>
        <mc:AlternateContent xmlns:mc="http://schemas.openxmlformats.org/markup-compatibility/2006">
          <mc:Choice Requires="x14">
            <control shapeId="7182" r:id="rId5" name="Check Box 14">
              <controlPr defaultSize="0" autoFill="0" autoLine="0" autoPict="0">
                <anchor moveWithCells="1">
                  <from>
                    <xdr:col>5</xdr:col>
                    <xdr:colOff>38100</xdr:colOff>
                    <xdr:row>7</xdr:row>
                    <xdr:rowOff>38100</xdr:rowOff>
                  </from>
                  <to>
                    <xdr:col>5</xdr:col>
                    <xdr:colOff>257175</xdr:colOff>
                    <xdr:row>7</xdr:row>
                    <xdr:rowOff>238125</xdr:rowOff>
                  </to>
                </anchor>
              </controlPr>
            </control>
          </mc:Choice>
        </mc:AlternateContent>
        <mc:AlternateContent xmlns:mc="http://schemas.openxmlformats.org/markup-compatibility/2006">
          <mc:Choice Requires="x14">
            <control shapeId="7183" r:id="rId6" name="Check Box 15">
              <controlPr defaultSize="0" autoFill="0" autoLine="0" autoPict="0">
                <anchor moveWithCells="1">
                  <from>
                    <xdr:col>5</xdr:col>
                    <xdr:colOff>38100</xdr:colOff>
                    <xdr:row>8</xdr:row>
                    <xdr:rowOff>38100</xdr:rowOff>
                  </from>
                  <to>
                    <xdr:col>5</xdr:col>
                    <xdr:colOff>257175</xdr:colOff>
                    <xdr:row>8</xdr:row>
                    <xdr:rowOff>238125</xdr:rowOff>
                  </to>
                </anchor>
              </controlPr>
            </control>
          </mc:Choice>
        </mc:AlternateContent>
        <mc:AlternateContent xmlns:mc="http://schemas.openxmlformats.org/markup-compatibility/2006">
          <mc:Choice Requires="x14">
            <control shapeId="7170" r:id="rId7" name="Check Box 2">
              <controlPr defaultSize="0" autoFill="0" autoLine="0" autoPict="0">
                <anchor moveWithCells="1">
                  <from>
                    <xdr:col>5</xdr:col>
                    <xdr:colOff>38100</xdr:colOff>
                    <xdr:row>11</xdr:row>
                    <xdr:rowOff>38100</xdr:rowOff>
                  </from>
                  <to>
                    <xdr:col>5</xdr:col>
                    <xdr:colOff>257175</xdr:colOff>
                    <xdr:row>11</xdr:row>
                    <xdr:rowOff>238125</xdr:rowOff>
                  </to>
                </anchor>
              </controlPr>
            </control>
          </mc:Choice>
        </mc:AlternateContent>
        <mc:AlternateContent xmlns:mc="http://schemas.openxmlformats.org/markup-compatibility/2006">
          <mc:Choice Requires="x14">
            <control shapeId="7172" r:id="rId8" name="Check Box 4">
              <controlPr defaultSize="0" autoFill="0" autoLine="0" autoPict="0">
                <anchor moveWithCells="1">
                  <from>
                    <xdr:col>5</xdr:col>
                    <xdr:colOff>38100</xdr:colOff>
                    <xdr:row>12</xdr:row>
                    <xdr:rowOff>38100</xdr:rowOff>
                  </from>
                  <to>
                    <xdr:col>5</xdr:col>
                    <xdr:colOff>257175</xdr:colOff>
                    <xdr:row>12</xdr:row>
                    <xdr:rowOff>238125</xdr:rowOff>
                  </to>
                </anchor>
              </controlPr>
            </control>
          </mc:Choice>
        </mc:AlternateContent>
        <mc:AlternateContent xmlns:mc="http://schemas.openxmlformats.org/markup-compatibility/2006">
          <mc:Choice Requires="x14">
            <control shapeId="7173" r:id="rId9" name="Check Box 5">
              <controlPr defaultSize="0" autoFill="0" autoLine="0" autoPict="0">
                <anchor moveWithCells="1">
                  <from>
                    <xdr:col>5</xdr:col>
                    <xdr:colOff>38100</xdr:colOff>
                    <xdr:row>13</xdr:row>
                    <xdr:rowOff>38100</xdr:rowOff>
                  </from>
                  <to>
                    <xdr:col>5</xdr:col>
                    <xdr:colOff>257175</xdr:colOff>
                    <xdr:row>13</xdr:row>
                    <xdr:rowOff>238125</xdr:rowOff>
                  </to>
                </anchor>
              </controlPr>
            </control>
          </mc:Choice>
        </mc:AlternateContent>
        <mc:AlternateContent xmlns:mc="http://schemas.openxmlformats.org/markup-compatibility/2006">
          <mc:Choice Requires="x14">
            <control shapeId="7174" r:id="rId10" name="Check Box 6">
              <controlPr defaultSize="0" autoFill="0" autoLine="0" autoPict="0">
                <anchor moveWithCells="1">
                  <from>
                    <xdr:col>5</xdr:col>
                    <xdr:colOff>38100</xdr:colOff>
                    <xdr:row>14</xdr:row>
                    <xdr:rowOff>38100</xdr:rowOff>
                  </from>
                  <to>
                    <xdr:col>5</xdr:col>
                    <xdr:colOff>257175</xdr:colOff>
                    <xdr:row>14</xdr:row>
                    <xdr:rowOff>238125</xdr:rowOff>
                  </to>
                </anchor>
              </controlPr>
            </control>
          </mc:Choice>
        </mc:AlternateContent>
        <mc:AlternateContent xmlns:mc="http://schemas.openxmlformats.org/markup-compatibility/2006">
          <mc:Choice Requires="x14">
            <control shapeId="7175" r:id="rId11" name="Check Box 7">
              <controlPr defaultSize="0" autoFill="0" autoLine="0" autoPict="0">
                <anchor moveWithCells="1">
                  <from>
                    <xdr:col>5</xdr:col>
                    <xdr:colOff>38100</xdr:colOff>
                    <xdr:row>15</xdr:row>
                    <xdr:rowOff>38100</xdr:rowOff>
                  </from>
                  <to>
                    <xdr:col>5</xdr:col>
                    <xdr:colOff>257175</xdr:colOff>
                    <xdr:row>15</xdr:row>
                    <xdr:rowOff>238125</xdr:rowOff>
                  </to>
                </anchor>
              </controlPr>
            </control>
          </mc:Choice>
        </mc:AlternateContent>
        <mc:AlternateContent xmlns:mc="http://schemas.openxmlformats.org/markup-compatibility/2006">
          <mc:Choice Requires="x14">
            <control shapeId="7176" r:id="rId12" name="Check Box 8">
              <controlPr defaultSize="0" autoFill="0" autoLine="0" autoPict="0">
                <anchor moveWithCells="1">
                  <from>
                    <xdr:col>5</xdr:col>
                    <xdr:colOff>38100</xdr:colOff>
                    <xdr:row>16</xdr:row>
                    <xdr:rowOff>38100</xdr:rowOff>
                  </from>
                  <to>
                    <xdr:col>5</xdr:col>
                    <xdr:colOff>257175</xdr:colOff>
                    <xdr:row>16</xdr:row>
                    <xdr:rowOff>238125</xdr:rowOff>
                  </to>
                </anchor>
              </controlPr>
            </control>
          </mc:Choice>
        </mc:AlternateContent>
        <mc:AlternateContent xmlns:mc="http://schemas.openxmlformats.org/markup-compatibility/2006">
          <mc:Choice Requires="x14">
            <control shapeId="7177" r:id="rId13" name="Check Box 9">
              <controlPr defaultSize="0" autoFill="0" autoLine="0" autoPict="0">
                <anchor moveWithCells="1">
                  <from>
                    <xdr:col>5</xdr:col>
                    <xdr:colOff>38100</xdr:colOff>
                    <xdr:row>17</xdr:row>
                    <xdr:rowOff>38100</xdr:rowOff>
                  </from>
                  <to>
                    <xdr:col>5</xdr:col>
                    <xdr:colOff>257175</xdr:colOff>
                    <xdr:row>17</xdr:row>
                    <xdr:rowOff>238125</xdr:rowOff>
                  </to>
                </anchor>
              </controlPr>
            </control>
          </mc:Choice>
        </mc:AlternateContent>
        <mc:AlternateContent xmlns:mc="http://schemas.openxmlformats.org/markup-compatibility/2006">
          <mc:Choice Requires="x14">
            <control shapeId="7178" r:id="rId14" name="Check Box 10">
              <controlPr defaultSize="0" autoFill="0" autoLine="0" autoPict="0">
                <anchor moveWithCells="1">
                  <from>
                    <xdr:col>5</xdr:col>
                    <xdr:colOff>38100</xdr:colOff>
                    <xdr:row>18</xdr:row>
                    <xdr:rowOff>38100</xdr:rowOff>
                  </from>
                  <to>
                    <xdr:col>5</xdr:col>
                    <xdr:colOff>257175</xdr:colOff>
                    <xdr:row>18</xdr:row>
                    <xdr:rowOff>238125</xdr:rowOff>
                  </to>
                </anchor>
              </controlPr>
            </control>
          </mc:Choice>
        </mc:AlternateContent>
        <mc:AlternateContent xmlns:mc="http://schemas.openxmlformats.org/markup-compatibility/2006">
          <mc:Choice Requires="x14">
            <control shapeId="7179" r:id="rId15" name="Check Box 11">
              <controlPr defaultSize="0" autoFill="0" autoLine="0" autoPict="0">
                <anchor moveWithCells="1">
                  <from>
                    <xdr:col>5</xdr:col>
                    <xdr:colOff>38100</xdr:colOff>
                    <xdr:row>19</xdr:row>
                    <xdr:rowOff>38100</xdr:rowOff>
                  </from>
                  <to>
                    <xdr:col>5</xdr:col>
                    <xdr:colOff>257175</xdr:colOff>
                    <xdr:row>19</xdr:row>
                    <xdr:rowOff>238125</xdr:rowOff>
                  </to>
                </anchor>
              </controlPr>
            </control>
          </mc:Choice>
        </mc:AlternateContent>
        <mc:AlternateContent xmlns:mc="http://schemas.openxmlformats.org/markup-compatibility/2006">
          <mc:Choice Requires="x14">
            <control shapeId="7180" r:id="rId16" name="Check Box 12">
              <controlPr defaultSize="0" autoFill="0" autoLine="0" autoPict="0">
                <anchor moveWithCells="1">
                  <from>
                    <xdr:col>5</xdr:col>
                    <xdr:colOff>38100</xdr:colOff>
                    <xdr:row>20</xdr:row>
                    <xdr:rowOff>38100</xdr:rowOff>
                  </from>
                  <to>
                    <xdr:col>5</xdr:col>
                    <xdr:colOff>257175</xdr:colOff>
                    <xdr:row>20</xdr:row>
                    <xdr:rowOff>238125</xdr:rowOff>
                  </to>
                </anchor>
              </controlPr>
            </control>
          </mc:Choice>
        </mc:AlternateContent>
        <mc:AlternateContent xmlns:mc="http://schemas.openxmlformats.org/markup-compatibility/2006">
          <mc:Choice Requires="x14">
            <control shapeId="7207" r:id="rId17" name="Check Box 39">
              <controlPr defaultSize="0" autoFill="0" autoLine="0" autoPict="0">
                <anchor moveWithCells="1">
                  <from>
                    <xdr:col>5</xdr:col>
                    <xdr:colOff>38100</xdr:colOff>
                    <xdr:row>25</xdr:row>
                    <xdr:rowOff>38100</xdr:rowOff>
                  </from>
                  <to>
                    <xdr:col>5</xdr:col>
                    <xdr:colOff>257175</xdr:colOff>
                    <xdr:row>28</xdr:row>
                    <xdr:rowOff>200025</xdr:rowOff>
                  </to>
                </anchor>
              </controlPr>
            </control>
          </mc:Choice>
        </mc:AlternateContent>
        <mc:AlternateContent xmlns:mc="http://schemas.openxmlformats.org/markup-compatibility/2006">
          <mc:Choice Requires="x14">
            <control shapeId="7208" r:id="rId18" name="Check Box 40">
              <controlPr defaultSize="0" autoFill="0" autoLine="0" autoPict="0">
                <anchor moveWithCells="1">
                  <from>
                    <xdr:col>5</xdr:col>
                    <xdr:colOff>38100</xdr:colOff>
                    <xdr:row>26</xdr:row>
                    <xdr:rowOff>38100</xdr:rowOff>
                  </from>
                  <to>
                    <xdr:col>5</xdr:col>
                    <xdr:colOff>257175</xdr:colOff>
                    <xdr:row>28</xdr:row>
                    <xdr:rowOff>200025</xdr:rowOff>
                  </to>
                </anchor>
              </controlPr>
            </control>
          </mc:Choice>
        </mc:AlternateContent>
        <mc:AlternateContent xmlns:mc="http://schemas.openxmlformats.org/markup-compatibility/2006">
          <mc:Choice Requires="x14">
            <control shapeId="7219" r:id="rId19" name="Check Box 51">
              <controlPr defaultSize="0" autoFill="0" autoLine="0" autoPict="0">
                <anchor moveWithCells="1">
                  <from>
                    <xdr:col>5</xdr:col>
                    <xdr:colOff>47625</xdr:colOff>
                    <xdr:row>107</xdr:row>
                    <xdr:rowOff>19050</xdr:rowOff>
                  </from>
                  <to>
                    <xdr:col>6</xdr:col>
                    <xdr:colOff>9525</xdr:colOff>
                    <xdr:row>107</xdr:row>
                    <xdr:rowOff>257175</xdr:rowOff>
                  </to>
                </anchor>
              </controlPr>
            </control>
          </mc:Choice>
        </mc:AlternateContent>
        <mc:AlternateContent xmlns:mc="http://schemas.openxmlformats.org/markup-compatibility/2006">
          <mc:Choice Requires="x14">
            <control shapeId="7220" r:id="rId20" name="Check Box 52">
              <controlPr defaultSize="0" autoFill="0" autoLine="0" autoPict="0">
                <anchor moveWithCells="1">
                  <from>
                    <xdr:col>5</xdr:col>
                    <xdr:colOff>38100</xdr:colOff>
                    <xdr:row>108</xdr:row>
                    <xdr:rowOff>0</xdr:rowOff>
                  </from>
                  <to>
                    <xdr:col>6</xdr:col>
                    <xdr:colOff>0</xdr:colOff>
                    <xdr:row>108</xdr:row>
                    <xdr:rowOff>238125</xdr:rowOff>
                  </to>
                </anchor>
              </controlPr>
            </control>
          </mc:Choice>
        </mc:AlternateContent>
        <mc:AlternateContent xmlns:mc="http://schemas.openxmlformats.org/markup-compatibility/2006">
          <mc:Choice Requires="x14">
            <control shapeId="7222" r:id="rId21" name="Check Box 54">
              <controlPr defaultSize="0" autoFill="0" autoLine="0" autoPict="0">
                <anchor moveWithCells="1">
                  <from>
                    <xdr:col>5</xdr:col>
                    <xdr:colOff>19050</xdr:colOff>
                    <xdr:row>113</xdr:row>
                    <xdr:rowOff>19050</xdr:rowOff>
                  </from>
                  <to>
                    <xdr:col>5</xdr:col>
                    <xdr:colOff>266700</xdr:colOff>
                    <xdr:row>113</xdr:row>
                    <xdr:rowOff>257175</xdr:rowOff>
                  </to>
                </anchor>
              </controlPr>
            </control>
          </mc:Choice>
        </mc:AlternateContent>
        <mc:AlternateContent xmlns:mc="http://schemas.openxmlformats.org/markup-compatibility/2006">
          <mc:Choice Requires="x14">
            <control shapeId="7224" r:id="rId22" name="Check Box 56">
              <controlPr defaultSize="0" autoFill="0" autoLine="0" autoPict="0">
                <anchor moveWithCells="1">
                  <from>
                    <xdr:col>5</xdr:col>
                    <xdr:colOff>47625</xdr:colOff>
                    <xdr:row>125</xdr:row>
                    <xdr:rowOff>0</xdr:rowOff>
                  </from>
                  <to>
                    <xdr:col>6</xdr:col>
                    <xdr:colOff>9525</xdr:colOff>
                    <xdr:row>125</xdr:row>
                    <xdr:rowOff>238125</xdr:rowOff>
                  </to>
                </anchor>
              </controlPr>
            </control>
          </mc:Choice>
        </mc:AlternateContent>
        <mc:AlternateContent xmlns:mc="http://schemas.openxmlformats.org/markup-compatibility/2006">
          <mc:Choice Requires="x14">
            <control shapeId="7225" r:id="rId23" name="Check Box 57">
              <controlPr defaultSize="0" autoFill="0" autoLine="0" autoPict="0">
                <anchor moveWithCells="1">
                  <from>
                    <xdr:col>5</xdr:col>
                    <xdr:colOff>47625</xdr:colOff>
                    <xdr:row>126</xdr:row>
                    <xdr:rowOff>0</xdr:rowOff>
                  </from>
                  <to>
                    <xdr:col>6</xdr:col>
                    <xdr:colOff>9525</xdr:colOff>
                    <xdr:row>126</xdr:row>
                    <xdr:rowOff>238125</xdr:rowOff>
                  </to>
                </anchor>
              </controlPr>
            </control>
          </mc:Choice>
        </mc:AlternateContent>
        <mc:AlternateContent xmlns:mc="http://schemas.openxmlformats.org/markup-compatibility/2006">
          <mc:Choice Requires="x14">
            <control shapeId="7226" r:id="rId24" name="Check Box 58">
              <controlPr defaultSize="0" autoFill="0" autoLine="0" autoPict="0">
                <anchor moveWithCells="1">
                  <from>
                    <xdr:col>5</xdr:col>
                    <xdr:colOff>47625</xdr:colOff>
                    <xdr:row>127</xdr:row>
                    <xdr:rowOff>0</xdr:rowOff>
                  </from>
                  <to>
                    <xdr:col>6</xdr:col>
                    <xdr:colOff>9525</xdr:colOff>
                    <xdr:row>127</xdr:row>
                    <xdr:rowOff>238125</xdr:rowOff>
                  </to>
                </anchor>
              </controlPr>
            </control>
          </mc:Choice>
        </mc:AlternateContent>
        <mc:AlternateContent xmlns:mc="http://schemas.openxmlformats.org/markup-compatibility/2006">
          <mc:Choice Requires="x14">
            <control shapeId="7227" r:id="rId25" name="Check Box 59">
              <controlPr defaultSize="0" autoFill="0" autoLine="0" autoPict="0">
                <anchor moveWithCells="1">
                  <from>
                    <xdr:col>5</xdr:col>
                    <xdr:colOff>47625</xdr:colOff>
                    <xdr:row>128</xdr:row>
                    <xdr:rowOff>0</xdr:rowOff>
                  </from>
                  <to>
                    <xdr:col>6</xdr:col>
                    <xdr:colOff>9525</xdr:colOff>
                    <xdr:row>128</xdr:row>
                    <xdr:rowOff>238125</xdr:rowOff>
                  </to>
                </anchor>
              </controlPr>
            </control>
          </mc:Choice>
        </mc:AlternateContent>
        <mc:AlternateContent xmlns:mc="http://schemas.openxmlformats.org/markup-compatibility/2006">
          <mc:Choice Requires="x14">
            <control shapeId="7228" r:id="rId26" name="Check Box 60">
              <controlPr defaultSize="0" autoFill="0" autoLine="0" autoPict="0">
                <anchor moveWithCells="1">
                  <from>
                    <xdr:col>5</xdr:col>
                    <xdr:colOff>47625</xdr:colOff>
                    <xdr:row>129</xdr:row>
                    <xdr:rowOff>0</xdr:rowOff>
                  </from>
                  <to>
                    <xdr:col>6</xdr:col>
                    <xdr:colOff>9525</xdr:colOff>
                    <xdr:row>129</xdr:row>
                    <xdr:rowOff>238125</xdr:rowOff>
                  </to>
                </anchor>
              </controlPr>
            </control>
          </mc:Choice>
        </mc:AlternateContent>
        <mc:AlternateContent xmlns:mc="http://schemas.openxmlformats.org/markup-compatibility/2006">
          <mc:Choice Requires="x14">
            <control shapeId="7229" r:id="rId27" name="Check Box 61">
              <controlPr defaultSize="0" autoFill="0" autoLine="0" autoPict="0">
                <anchor moveWithCells="1">
                  <from>
                    <xdr:col>5</xdr:col>
                    <xdr:colOff>47625</xdr:colOff>
                    <xdr:row>130</xdr:row>
                    <xdr:rowOff>28575</xdr:rowOff>
                  </from>
                  <to>
                    <xdr:col>6</xdr:col>
                    <xdr:colOff>9525</xdr:colOff>
                    <xdr:row>130</xdr:row>
                    <xdr:rowOff>266700</xdr:rowOff>
                  </to>
                </anchor>
              </controlPr>
            </control>
          </mc:Choice>
        </mc:AlternateContent>
        <mc:AlternateContent xmlns:mc="http://schemas.openxmlformats.org/markup-compatibility/2006">
          <mc:Choice Requires="x14">
            <control shapeId="7231" r:id="rId28" name="Check Box 63">
              <controlPr defaultSize="0" autoFill="0" autoLine="0" autoPict="0">
                <anchor moveWithCells="1">
                  <from>
                    <xdr:col>5</xdr:col>
                    <xdr:colOff>38100</xdr:colOff>
                    <xdr:row>136</xdr:row>
                    <xdr:rowOff>28575</xdr:rowOff>
                  </from>
                  <to>
                    <xdr:col>6</xdr:col>
                    <xdr:colOff>0</xdr:colOff>
                    <xdr:row>136</xdr:row>
                    <xdr:rowOff>266700</xdr:rowOff>
                  </to>
                </anchor>
              </controlPr>
            </control>
          </mc:Choice>
        </mc:AlternateContent>
        <mc:AlternateContent xmlns:mc="http://schemas.openxmlformats.org/markup-compatibility/2006">
          <mc:Choice Requires="x14">
            <control shapeId="7232" r:id="rId29" name="Check Box 64">
              <controlPr defaultSize="0" autoFill="0" autoLine="0" autoPict="0">
                <anchor moveWithCells="1">
                  <from>
                    <xdr:col>5</xdr:col>
                    <xdr:colOff>57150</xdr:colOff>
                    <xdr:row>139</xdr:row>
                    <xdr:rowOff>28575</xdr:rowOff>
                  </from>
                  <to>
                    <xdr:col>6</xdr:col>
                    <xdr:colOff>19050</xdr:colOff>
                    <xdr:row>139</xdr:row>
                    <xdr:rowOff>266700</xdr:rowOff>
                  </to>
                </anchor>
              </controlPr>
            </control>
          </mc:Choice>
        </mc:AlternateContent>
        <mc:AlternateContent xmlns:mc="http://schemas.openxmlformats.org/markup-compatibility/2006">
          <mc:Choice Requires="x14">
            <control shapeId="7233" r:id="rId30" name="Check Box 65">
              <controlPr defaultSize="0" autoFill="0" autoLine="0" autoPict="0">
                <anchor moveWithCells="1">
                  <from>
                    <xdr:col>5</xdr:col>
                    <xdr:colOff>57150</xdr:colOff>
                    <xdr:row>141</xdr:row>
                    <xdr:rowOff>28575</xdr:rowOff>
                  </from>
                  <to>
                    <xdr:col>6</xdr:col>
                    <xdr:colOff>19050</xdr:colOff>
                    <xdr:row>141</xdr:row>
                    <xdr:rowOff>266700</xdr:rowOff>
                  </to>
                </anchor>
              </controlPr>
            </control>
          </mc:Choice>
        </mc:AlternateContent>
        <mc:AlternateContent xmlns:mc="http://schemas.openxmlformats.org/markup-compatibility/2006">
          <mc:Choice Requires="x14">
            <control shapeId="7234" r:id="rId31" name="Check Box 66">
              <controlPr defaultSize="0" autoFill="0" autoLine="0" autoPict="0">
                <anchor moveWithCells="1">
                  <from>
                    <xdr:col>5</xdr:col>
                    <xdr:colOff>57150</xdr:colOff>
                    <xdr:row>143</xdr:row>
                    <xdr:rowOff>28575</xdr:rowOff>
                  </from>
                  <to>
                    <xdr:col>6</xdr:col>
                    <xdr:colOff>19050</xdr:colOff>
                    <xdr:row>143</xdr:row>
                    <xdr:rowOff>266700</xdr:rowOff>
                  </to>
                </anchor>
              </controlPr>
            </control>
          </mc:Choice>
        </mc:AlternateContent>
        <mc:AlternateContent xmlns:mc="http://schemas.openxmlformats.org/markup-compatibility/2006">
          <mc:Choice Requires="x14">
            <control shapeId="7235" r:id="rId32" name="Check Box 67">
              <controlPr defaultSize="0" autoFill="0" autoLine="0" autoPict="0">
                <anchor moveWithCells="1">
                  <from>
                    <xdr:col>5</xdr:col>
                    <xdr:colOff>38100</xdr:colOff>
                    <xdr:row>148</xdr:row>
                    <xdr:rowOff>76200</xdr:rowOff>
                  </from>
                  <to>
                    <xdr:col>6</xdr:col>
                    <xdr:colOff>0</xdr:colOff>
                    <xdr:row>148</xdr:row>
                    <xdr:rowOff>314325</xdr:rowOff>
                  </to>
                </anchor>
              </controlPr>
            </control>
          </mc:Choice>
        </mc:AlternateContent>
        <mc:AlternateContent xmlns:mc="http://schemas.openxmlformats.org/markup-compatibility/2006">
          <mc:Choice Requires="x14">
            <control shapeId="7248" r:id="rId33" name="Check Box 80">
              <controlPr defaultSize="0" autoFill="0" autoLine="0" autoPict="0">
                <anchor>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7206" r:id="rId34" name="Check Box 38">
              <controlPr defaultSize="0" autoFill="0" autoLine="0" autoPict="0">
                <anchor moveWithCells="1">
                  <from>
                    <xdr:col>5</xdr:col>
                    <xdr:colOff>38100</xdr:colOff>
                    <xdr:row>24</xdr:row>
                    <xdr:rowOff>38100</xdr:rowOff>
                  </from>
                  <to>
                    <xdr:col>5</xdr:col>
                    <xdr:colOff>257175</xdr:colOff>
                    <xdr:row>28</xdr:row>
                    <xdr:rowOff>200025</xdr:rowOff>
                  </to>
                </anchor>
              </controlPr>
            </control>
          </mc:Choice>
        </mc:AlternateContent>
        <mc:AlternateContent xmlns:mc="http://schemas.openxmlformats.org/markup-compatibility/2006">
          <mc:Choice Requires="x14">
            <control shapeId="7251" r:id="rId35" name="Check Box 83">
              <controlPr defaultSize="0" autoFill="0" autoLine="0" autoPict="0">
                <anchor moveWithCells="1">
                  <from>
                    <xdr:col>5</xdr:col>
                    <xdr:colOff>38100</xdr:colOff>
                    <xdr:row>29</xdr:row>
                    <xdr:rowOff>38100</xdr:rowOff>
                  </from>
                  <to>
                    <xdr:col>5</xdr:col>
                    <xdr:colOff>257175</xdr:colOff>
                    <xdr:row>37</xdr:row>
                    <xdr:rowOff>200025</xdr:rowOff>
                  </to>
                </anchor>
              </controlPr>
            </control>
          </mc:Choice>
        </mc:AlternateContent>
        <mc:AlternateContent xmlns:mc="http://schemas.openxmlformats.org/markup-compatibility/2006">
          <mc:Choice Requires="x14">
            <control shapeId="7252" r:id="rId36" name="Check Box 84">
              <controlPr defaultSize="0" autoFill="0" autoLine="0" autoPict="0">
                <anchor moveWithCells="1">
                  <from>
                    <xdr:col>5</xdr:col>
                    <xdr:colOff>38100</xdr:colOff>
                    <xdr:row>30</xdr:row>
                    <xdr:rowOff>38100</xdr:rowOff>
                  </from>
                  <to>
                    <xdr:col>5</xdr:col>
                    <xdr:colOff>257175</xdr:colOff>
                    <xdr:row>37</xdr:row>
                    <xdr:rowOff>200025</xdr:rowOff>
                  </to>
                </anchor>
              </controlPr>
            </control>
          </mc:Choice>
        </mc:AlternateContent>
        <mc:AlternateContent xmlns:mc="http://schemas.openxmlformats.org/markup-compatibility/2006">
          <mc:Choice Requires="x14">
            <control shapeId="7253" r:id="rId37" name="Check Box 85">
              <controlPr defaultSize="0" autoFill="0" autoLine="0" autoPict="0">
                <anchor moveWithCells="1">
                  <from>
                    <xdr:col>5</xdr:col>
                    <xdr:colOff>38100</xdr:colOff>
                    <xdr:row>31</xdr:row>
                    <xdr:rowOff>38100</xdr:rowOff>
                  </from>
                  <to>
                    <xdr:col>5</xdr:col>
                    <xdr:colOff>257175</xdr:colOff>
                    <xdr:row>37</xdr:row>
                    <xdr:rowOff>200025</xdr:rowOff>
                  </to>
                </anchor>
              </controlPr>
            </control>
          </mc:Choice>
        </mc:AlternateContent>
        <mc:AlternateContent xmlns:mc="http://schemas.openxmlformats.org/markup-compatibility/2006">
          <mc:Choice Requires="x14">
            <control shapeId="7254" r:id="rId38" name="Check Box 86">
              <controlPr defaultSize="0" autoFill="0" autoLine="0" autoPict="0">
                <anchor moveWithCells="1">
                  <from>
                    <xdr:col>5</xdr:col>
                    <xdr:colOff>38100</xdr:colOff>
                    <xdr:row>32</xdr:row>
                    <xdr:rowOff>38100</xdr:rowOff>
                  </from>
                  <to>
                    <xdr:col>5</xdr:col>
                    <xdr:colOff>257175</xdr:colOff>
                    <xdr:row>37</xdr:row>
                    <xdr:rowOff>200025</xdr:rowOff>
                  </to>
                </anchor>
              </controlPr>
            </control>
          </mc:Choice>
        </mc:AlternateContent>
        <mc:AlternateContent xmlns:mc="http://schemas.openxmlformats.org/markup-compatibility/2006">
          <mc:Choice Requires="x14">
            <control shapeId="7255" r:id="rId39" name="Check Box 87">
              <controlPr defaultSize="0" autoFill="0" autoLine="0" autoPict="0">
                <anchor moveWithCells="1">
                  <from>
                    <xdr:col>5</xdr:col>
                    <xdr:colOff>38100</xdr:colOff>
                    <xdr:row>33</xdr:row>
                    <xdr:rowOff>38100</xdr:rowOff>
                  </from>
                  <to>
                    <xdr:col>5</xdr:col>
                    <xdr:colOff>257175</xdr:colOff>
                    <xdr:row>37</xdr:row>
                    <xdr:rowOff>200025</xdr:rowOff>
                  </to>
                </anchor>
              </controlPr>
            </control>
          </mc:Choice>
        </mc:AlternateContent>
        <mc:AlternateContent xmlns:mc="http://schemas.openxmlformats.org/markup-compatibility/2006">
          <mc:Choice Requires="x14">
            <control shapeId="7256" r:id="rId40" name="Check Box 88">
              <controlPr defaultSize="0" autoFill="0" autoLine="0" autoPict="0">
                <anchor moveWithCells="1">
                  <from>
                    <xdr:col>5</xdr:col>
                    <xdr:colOff>38100</xdr:colOff>
                    <xdr:row>34</xdr:row>
                    <xdr:rowOff>38100</xdr:rowOff>
                  </from>
                  <to>
                    <xdr:col>5</xdr:col>
                    <xdr:colOff>257175</xdr:colOff>
                    <xdr:row>37</xdr:row>
                    <xdr:rowOff>200025</xdr:rowOff>
                  </to>
                </anchor>
              </controlPr>
            </control>
          </mc:Choice>
        </mc:AlternateContent>
        <mc:AlternateContent xmlns:mc="http://schemas.openxmlformats.org/markup-compatibility/2006">
          <mc:Choice Requires="x14">
            <control shapeId="7258" r:id="rId41" name="Check Box 90">
              <controlPr defaultSize="0" autoFill="0" autoLine="0" autoPict="0">
                <anchor moveWithCells="1">
                  <from>
                    <xdr:col>5</xdr:col>
                    <xdr:colOff>38100</xdr:colOff>
                    <xdr:row>38</xdr:row>
                    <xdr:rowOff>38100</xdr:rowOff>
                  </from>
                  <to>
                    <xdr:col>5</xdr:col>
                    <xdr:colOff>257175</xdr:colOff>
                    <xdr:row>43</xdr:row>
                    <xdr:rowOff>200025</xdr:rowOff>
                  </to>
                </anchor>
              </controlPr>
            </control>
          </mc:Choice>
        </mc:AlternateContent>
        <mc:AlternateContent xmlns:mc="http://schemas.openxmlformats.org/markup-compatibility/2006">
          <mc:Choice Requires="x14">
            <control shapeId="7259" r:id="rId42" name="Check Box 91">
              <controlPr defaultSize="0" autoFill="0" autoLine="0" autoPict="0">
                <anchor moveWithCells="1">
                  <from>
                    <xdr:col>5</xdr:col>
                    <xdr:colOff>38100</xdr:colOff>
                    <xdr:row>39</xdr:row>
                    <xdr:rowOff>38100</xdr:rowOff>
                  </from>
                  <to>
                    <xdr:col>5</xdr:col>
                    <xdr:colOff>257175</xdr:colOff>
                    <xdr:row>43</xdr:row>
                    <xdr:rowOff>200025</xdr:rowOff>
                  </to>
                </anchor>
              </controlPr>
            </control>
          </mc:Choice>
        </mc:AlternateContent>
        <mc:AlternateContent xmlns:mc="http://schemas.openxmlformats.org/markup-compatibility/2006">
          <mc:Choice Requires="x14">
            <control shapeId="7260" r:id="rId43" name="Check Box 92">
              <controlPr defaultSize="0" autoFill="0" autoLine="0" autoPict="0">
                <anchor moveWithCells="1">
                  <from>
                    <xdr:col>5</xdr:col>
                    <xdr:colOff>38100</xdr:colOff>
                    <xdr:row>40</xdr:row>
                    <xdr:rowOff>38100</xdr:rowOff>
                  </from>
                  <to>
                    <xdr:col>5</xdr:col>
                    <xdr:colOff>257175</xdr:colOff>
                    <xdr:row>43</xdr:row>
                    <xdr:rowOff>200025</xdr:rowOff>
                  </to>
                </anchor>
              </controlPr>
            </control>
          </mc:Choice>
        </mc:AlternateContent>
        <mc:AlternateContent xmlns:mc="http://schemas.openxmlformats.org/markup-compatibility/2006">
          <mc:Choice Requires="x14">
            <control shapeId="7261" r:id="rId44" name="Check Box 93">
              <controlPr defaultSize="0" autoFill="0" autoLine="0" autoPict="0">
                <anchor moveWithCells="1">
                  <from>
                    <xdr:col>5</xdr:col>
                    <xdr:colOff>38100</xdr:colOff>
                    <xdr:row>41</xdr:row>
                    <xdr:rowOff>38100</xdr:rowOff>
                  </from>
                  <to>
                    <xdr:col>5</xdr:col>
                    <xdr:colOff>257175</xdr:colOff>
                    <xdr:row>43</xdr:row>
                    <xdr:rowOff>200025</xdr:rowOff>
                  </to>
                </anchor>
              </controlPr>
            </control>
          </mc:Choice>
        </mc:AlternateContent>
        <mc:AlternateContent xmlns:mc="http://schemas.openxmlformats.org/markup-compatibility/2006">
          <mc:Choice Requires="x14">
            <control shapeId="7262" r:id="rId45" name="Check Box 94">
              <controlPr defaultSize="0" autoFill="0" autoLine="0" autoPict="0">
                <anchor moveWithCells="1">
                  <from>
                    <xdr:col>5</xdr:col>
                    <xdr:colOff>38100</xdr:colOff>
                    <xdr:row>44</xdr:row>
                    <xdr:rowOff>38100</xdr:rowOff>
                  </from>
                  <to>
                    <xdr:col>5</xdr:col>
                    <xdr:colOff>257175</xdr:colOff>
                    <xdr:row>53</xdr:row>
                    <xdr:rowOff>200025</xdr:rowOff>
                  </to>
                </anchor>
              </controlPr>
            </control>
          </mc:Choice>
        </mc:AlternateContent>
        <mc:AlternateContent xmlns:mc="http://schemas.openxmlformats.org/markup-compatibility/2006">
          <mc:Choice Requires="x14">
            <control shapeId="7263" r:id="rId46" name="Check Box 95">
              <controlPr defaultSize="0" autoFill="0" autoLine="0" autoPict="0">
                <anchor moveWithCells="1">
                  <from>
                    <xdr:col>5</xdr:col>
                    <xdr:colOff>38100</xdr:colOff>
                    <xdr:row>45</xdr:row>
                    <xdr:rowOff>38100</xdr:rowOff>
                  </from>
                  <to>
                    <xdr:col>5</xdr:col>
                    <xdr:colOff>257175</xdr:colOff>
                    <xdr:row>53</xdr:row>
                    <xdr:rowOff>200025</xdr:rowOff>
                  </to>
                </anchor>
              </controlPr>
            </control>
          </mc:Choice>
        </mc:AlternateContent>
        <mc:AlternateContent xmlns:mc="http://schemas.openxmlformats.org/markup-compatibility/2006">
          <mc:Choice Requires="x14">
            <control shapeId="7264" r:id="rId47" name="Check Box 96">
              <controlPr defaultSize="0" autoFill="0" autoLine="0" autoPict="0">
                <anchor moveWithCells="1">
                  <from>
                    <xdr:col>5</xdr:col>
                    <xdr:colOff>38100</xdr:colOff>
                    <xdr:row>46</xdr:row>
                    <xdr:rowOff>38100</xdr:rowOff>
                  </from>
                  <to>
                    <xdr:col>5</xdr:col>
                    <xdr:colOff>257175</xdr:colOff>
                    <xdr:row>53</xdr:row>
                    <xdr:rowOff>200025</xdr:rowOff>
                  </to>
                </anchor>
              </controlPr>
            </control>
          </mc:Choice>
        </mc:AlternateContent>
        <mc:AlternateContent xmlns:mc="http://schemas.openxmlformats.org/markup-compatibility/2006">
          <mc:Choice Requires="x14">
            <control shapeId="7265" r:id="rId48" name="Check Box 97">
              <controlPr defaultSize="0" autoFill="0" autoLine="0" autoPict="0">
                <anchor moveWithCells="1">
                  <from>
                    <xdr:col>5</xdr:col>
                    <xdr:colOff>38100</xdr:colOff>
                    <xdr:row>47</xdr:row>
                    <xdr:rowOff>38100</xdr:rowOff>
                  </from>
                  <to>
                    <xdr:col>5</xdr:col>
                    <xdr:colOff>257175</xdr:colOff>
                    <xdr:row>53</xdr:row>
                    <xdr:rowOff>200025</xdr:rowOff>
                  </to>
                </anchor>
              </controlPr>
            </control>
          </mc:Choice>
        </mc:AlternateContent>
        <mc:AlternateContent xmlns:mc="http://schemas.openxmlformats.org/markup-compatibility/2006">
          <mc:Choice Requires="x14">
            <control shapeId="7266" r:id="rId49" name="Check Box 98">
              <controlPr defaultSize="0" autoFill="0" autoLine="0" autoPict="0">
                <anchor moveWithCells="1">
                  <from>
                    <xdr:col>5</xdr:col>
                    <xdr:colOff>38100</xdr:colOff>
                    <xdr:row>48</xdr:row>
                    <xdr:rowOff>38100</xdr:rowOff>
                  </from>
                  <to>
                    <xdr:col>5</xdr:col>
                    <xdr:colOff>257175</xdr:colOff>
                    <xdr:row>53</xdr:row>
                    <xdr:rowOff>200025</xdr:rowOff>
                  </to>
                </anchor>
              </controlPr>
            </control>
          </mc:Choice>
        </mc:AlternateContent>
        <mc:AlternateContent xmlns:mc="http://schemas.openxmlformats.org/markup-compatibility/2006">
          <mc:Choice Requires="x14">
            <control shapeId="7267" r:id="rId50" name="Check Box 99">
              <controlPr defaultSize="0" autoFill="0" autoLine="0" autoPict="0">
                <anchor moveWithCells="1">
                  <from>
                    <xdr:col>5</xdr:col>
                    <xdr:colOff>38100</xdr:colOff>
                    <xdr:row>49</xdr:row>
                    <xdr:rowOff>38100</xdr:rowOff>
                  </from>
                  <to>
                    <xdr:col>5</xdr:col>
                    <xdr:colOff>257175</xdr:colOff>
                    <xdr:row>53</xdr:row>
                    <xdr:rowOff>200025</xdr:rowOff>
                  </to>
                </anchor>
              </controlPr>
            </control>
          </mc:Choice>
        </mc:AlternateContent>
        <mc:AlternateContent xmlns:mc="http://schemas.openxmlformats.org/markup-compatibility/2006">
          <mc:Choice Requires="x14">
            <control shapeId="7268" r:id="rId51" name="Check Box 100">
              <controlPr defaultSize="0" autoFill="0" autoLine="0" autoPict="0">
                <anchor moveWithCells="1">
                  <from>
                    <xdr:col>5</xdr:col>
                    <xdr:colOff>38100</xdr:colOff>
                    <xdr:row>50</xdr:row>
                    <xdr:rowOff>38100</xdr:rowOff>
                  </from>
                  <to>
                    <xdr:col>5</xdr:col>
                    <xdr:colOff>257175</xdr:colOff>
                    <xdr:row>53</xdr:row>
                    <xdr:rowOff>200025</xdr:rowOff>
                  </to>
                </anchor>
              </controlPr>
            </control>
          </mc:Choice>
        </mc:AlternateContent>
        <mc:AlternateContent xmlns:mc="http://schemas.openxmlformats.org/markup-compatibility/2006">
          <mc:Choice Requires="x14">
            <control shapeId="7269" r:id="rId52" name="Check Box 101">
              <controlPr defaultSize="0" autoFill="0" autoLine="0" autoPict="0">
                <anchor moveWithCells="1">
                  <from>
                    <xdr:col>5</xdr:col>
                    <xdr:colOff>38100</xdr:colOff>
                    <xdr:row>51</xdr:row>
                    <xdr:rowOff>38100</xdr:rowOff>
                  </from>
                  <to>
                    <xdr:col>5</xdr:col>
                    <xdr:colOff>257175</xdr:colOff>
                    <xdr:row>53</xdr:row>
                    <xdr:rowOff>200025</xdr:rowOff>
                  </to>
                </anchor>
              </controlPr>
            </control>
          </mc:Choice>
        </mc:AlternateContent>
        <mc:AlternateContent xmlns:mc="http://schemas.openxmlformats.org/markup-compatibility/2006">
          <mc:Choice Requires="x14">
            <control shapeId="7271" r:id="rId53" name="Check Box 103">
              <controlPr defaultSize="0" autoFill="0" autoLine="0" autoPict="0">
                <anchor moveWithCells="1">
                  <from>
                    <xdr:col>5</xdr:col>
                    <xdr:colOff>38100</xdr:colOff>
                    <xdr:row>54</xdr:row>
                    <xdr:rowOff>38100</xdr:rowOff>
                  </from>
                  <to>
                    <xdr:col>5</xdr:col>
                    <xdr:colOff>257175</xdr:colOff>
                    <xdr:row>61</xdr:row>
                    <xdr:rowOff>200025</xdr:rowOff>
                  </to>
                </anchor>
              </controlPr>
            </control>
          </mc:Choice>
        </mc:AlternateContent>
        <mc:AlternateContent xmlns:mc="http://schemas.openxmlformats.org/markup-compatibility/2006">
          <mc:Choice Requires="x14">
            <control shapeId="7272" r:id="rId54" name="Check Box 104">
              <controlPr defaultSize="0" autoFill="0" autoLine="0" autoPict="0">
                <anchor moveWithCells="1">
                  <from>
                    <xdr:col>5</xdr:col>
                    <xdr:colOff>38100</xdr:colOff>
                    <xdr:row>55</xdr:row>
                    <xdr:rowOff>38100</xdr:rowOff>
                  </from>
                  <to>
                    <xdr:col>5</xdr:col>
                    <xdr:colOff>257175</xdr:colOff>
                    <xdr:row>61</xdr:row>
                    <xdr:rowOff>200025</xdr:rowOff>
                  </to>
                </anchor>
              </controlPr>
            </control>
          </mc:Choice>
        </mc:AlternateContent>
        <mc:AlternateContent xmlns:mc="http://schemas.openxmlformats.org/markup-compatibility/2006">
          <mc:Choice Requires="x14">
            <control shapeId="7273" r:id="rId55" name="Check Box 105">
              <controlPr defaultSize="0" autoFill="0" autoLine="0" autoPict="0">
                <anchor moveWithCells="1">
                  <from>
                    <xdr:col>5</xdr:col>
                    <xdr:colOff>38100</xdr:colOff>
                    <xdr:row>56</xdr:row>
                    <xdr:rowOff>38100</xdr:rowOff>
                  </from>
                  <to>
                    <xdr:col>5</xdr:col>
                    <xdr:colOff>257175</xdr:colOff>
                    <xdr:row>61</xdr:row>
                    <xdr:rowOff>200025</xdr:rowOff>
                  </to>
                </anchor>
              </controlPr>
            </control>
          </mc:Choice>
        </mc:AlternateContent>
        <mc:AlternateContent xmlns:mc="http://schemas.openxmlformats.org/markup-compatibility/2006">
          <mc:Choice Requires="x14">
            <control shapeId="7274" r:id="rId56" name="Check Box 106">
              <controlPr defaultSize="0" autoFill="0" autoLine="0" autoPict="0">
                <anchor moveWithCells="1">
                  <from>
                    <xdr:col>5</xdr:col>
                    <xdr:colOff>38100</xdr:colOff>
                    <xdr:row>57</xdr:row>
                    <xdr:rowOff>38100</xdr:rowOff>
                  </from>
                  <to>
                    <xdr:col>5</xdr:col>
                    <xdr:colOff>257175</xdr:colOff>
                    <xdr:row>61</xdr:row>
                    <xdr:rowOff>200025</xdr:rowOff>
                  </to>
                </anchor>
              </controlPr>
            </control>
          </mc:Choice>
        </mc:AlternateContent>
        <mc:AlternateContent xmlns:mc="http://schemas.openxmlformats.org/markup-compatibility/2006">
          <mc:Choice Requires="x14">
            <control shapeId="7275" r:id="rId57" name="Check Box 107">
              <controlPr defaultSize="0" autoFill="0" autoLine="0" autoPict="0">
                <anchor moveWithCells="1">
                  <from>
                    <xdr:col>5</xdr:col>
                    <xdr:colOff>38100</xdr:colOff>
                    <xdr:row>58</xdr:row>
                    <xdr:rowOff>38100</xdr:rowOff>
                  </from>
                  <to>
                    <xdr:col>5</xdr:col>
                    <xdr:colOff>257175</xdr:colOff>
                    <xdr:row>61</xdr:row>
                    <xdr:rowOff>200025</xdr:rowOff>
                  </to>
                </anchor>
              </controlPr>
            </control>
          </mc:Choice>
        </mc:AlternateContent>
        <mc:AlternateContent xmlns:mc="http://schemas.openxmlformats.org/markup-compatibility/2006">
          <mc:Choice Requires="x14">
            <control shapeId="7276" r:id="rId58" name="Check Box 108">
              <controlPr defaultSize="0" autoFill="0" autoLine="0" autoPict="0">
                <anchor moveWithCells="1">
                  <from>
                    <xdr:col>5</xdr:col>
                    <xdr:colOff>38100</xdr:colOff>
                    <xdr:row>59</xdr:row>
                    <xdr:rowOff>38100</xdr:rowOff>
                  </from>
                  <to>
                    <xdr:col>5</xdr:col>
                    <xdr:colOff>257175</xdr:colOff>
                    <xdr:row>61</xdr:row>
                    <xdr:rowOff>200025</xdr:rowOff>
                  </to>
                </anchor>
              </controlPr>
            </control>
          </mc:Choice>
        </mc:AlternateContent>
        <mc:AlternateContent xmlns:mc="http://schemas.openxmlformats.org/markup-compatibility/2006">
          <mc:Choice Requires="x14">
            <control shapeId="7277" r:id="rId59" name="Check Box 109">
              <controlPr defaultSize="0" autoFill="0" autoLine="0" autoPict="0">
                <anchor moveWithCells="1">
                  <from>
                    <xdr:col>5</xdr:col>
                    <xdr:colOff>38100</xdr:colOff>
                    <xdr:row>62</xdr:row>
                    <xdr:rowOff>38100</xdr:rowOff>
                  </from>
                  <to>
                    <xdr:col>5</xdr:col>
                    <xdr:colOff>257175</xdr:colOff>
                    <xdr:row>62</xdr:row>
                    <xdr:rowOff>238125</xdr:rowOff>
                  </to>
                </anchor>
              </controlPr>
            </control>
          </mc:Choice>
        </mc:AlternateContent>
        <mc:AlternateContent xmlns:mc="http://schemas.openxmlformats.org/markup-compatibility/2006">
          <mc:Choice Requires="x14">
            <control shapeId="7278" r:id="rId60" name="Check Box 110">
              <controlPr defaultSize="0" autoFill="0" autoLine="0" autoPict="0">
                <anchor moveWithCells="1">
                  <from>
                    <xdr:col>5</xdr:col>
                    <xdr:colOff>38100</xdr:colOff>
                    <xdr:row>63</xdr:row>
                    <xdr:rowOff>38100</xdr:rowOff>
                  </from>
                  <to>
                    <xdr:col>5</xdr:col>
                    <xdr:colOff>257175</xdr:colOff>
                    <xdr:row>63</xdr:row>
                    <xdr:rowOff>238125</xdr:rowOff>
                  </to>
                </anchor>
              </controlPr>
            </control>
          </mc:Choice>
        </mc:AlternateContent>
        <mc:AlternateContent xmlns:mc="http://schemas.openxmlformats.org/markup-compatibility/2006">
          <mc:Choice Requires="x14">
            <control shapeId="7279" r:id="rId61" name="Check Box 111">
              <controlPr defaultSize="0" autoFill="0" autoLine="0" autoPict="0">
                <anchor moveWithCells="1">
                  <from>
                    <xdr:col>5</xdr:col>
                    <xdr:colOff>38100</xdr:colOff>
                    <xdr:row>64</xdr:row>
                    <xdr:rowOff>38100</xdr:rowOff>
                  </from>
                  <to>
                    <xdr:col>5</xdr:col>
                    <xdr:colOff>257175</xdr:colOff>
                    <xdr:row>64</xdr:row>
                    <xdr:rowOff>238125</xdr:rowOff>
                  </to>
                </anchor>
              </controlPr>
            </control>
          </mc:Choice>
        </mc:AlternateContent>
        <mc:AlternateContent xmlns:mc="http://schemas.openxmlformats.org/markup-compatibility/2006">
          <mc:Choice Requires="x14">
            <control shapeId="7280" r:id="rId62" name="Check Box 112">
              <controlPr defaultSize="0" autoFill="0" autoLine="0" autoPict="0">
                <anchor moveWithCells="1">
                  <from>
                    <xdr:col>5</xdr:col>
                    <xdr:colOff>38100</xdr:colOff>
                    <xdr:row>65</xdr:row>
                    <xdr:rowOff>38100</xdr:rowOff>
                  </from>
                  <to>
                    <xdr:col>5</xdr:col>
                    <xdr:colOff>257175</xdr:colOff>
                    <xdr:row>65</xdr:row>
                    <xdr:rowOff>238125</xdr:rowOff>
                  </to>
                </anchor>
              </controlPr>
            </control>
          </mc:Choice>
        </mc:AlternateContent>
        <mc:AlternateContent xmlns:mc="http://schemas.openxmlformats.org/markup-compatibility/2006">
          <mc:Choice Requires="x14">
            <control shapeId="7282" r:id="rId63" name="Check Box 114">
              <controlPr defaultSize="0" autoFill="0" autoLine="0" autoPict="0">
                <anchor moveWithCells="1">
                  <from>
                    <xdr:col>5</xdr:col>
                    <xdr:colOff>38100</xdr:colOff>
                    <xdr:row>72</xdr:row>
                    <xdr:rowOff>38100</xdr:rowOff>
                  </from>
                  <to>
                    <xdr:col>5</xdr:col>
                    <xdr:colOff>257175</xdr:colOff>
                    <xdr:row>72</xdr:row>
                    <xdr:rowOff>238125</xdr:rowOff>
                  </to>
                </anchor>
              </controlPr>
            </control>
          </mc:Choice>
        </mc:AlternateContent>
        <mc:AlternateContent xmlns:mc="http://schemas.openxmlformats.org/markup-compatibility/2006">
          <mc:Choice Requires="x14">
            <control shapeId="7283" r:id="rId64" name="Check Box 115">
              <controlPr defaultSize="0" autoFill="0" autoLine="0" autoPict="0">
                <anchor moveWithCells="1">
                  <from>
                    <xdr:col>5</xdr:col>
                    <xdr:colOff>38100</xdr:colOff>
                    <xdr:row>73</xdr:row>
                    <xdr:rowOff>38100</xdr:rowOff>
                  </from>
                  <to>
                    <xdr:col>5</xdr:col>
                    <xdr:colOff>257175</xdr:colOff>
                    <xdr:row>73</xdr:row>
                    <xdr:rowOff>238125</xdr:rowOff>
                  </to>
                </anchor>
              </controlPr>
            </control>
          </mc:Choice>
        </mc:AlternateContent>
        <mc:AlternateContent xmlns:mc="http://schemas.openxmlformats.org/markup-compatibility/2006">
          <mc:Choice Requires="x14">
            <control shapeId="7285" r:id="rId65" name="Check Box 117">
              <controlPr defaultSize="0" autoFill="0" autoLine="0" autoPict="0">
                <anchor moveWithCells="1">
                  <from>
                    <xdr:col>5</xdr:col>
                    <xdr:colOff>38100</xdr:colOff>
                    <xdr:row>74</xdr:row>
                    <xdr:rowOff>38100</xdr:rowOff>
                  </from>
                  <to>
                    <xdr:col>5</xdr:col>
                    <xdr:colOff>257175</xdr:colOff>
                    <xdr:row>74</xdr:row>
                    <xdr:rowOff>238125</xdr:rowOff>
                  </to>
                </anchor>
              </controlPr>
            </control>
          </mc:Choice>
        </mc:AlternateContent>
        <mc:AlternateContent xmlns:mc="http://schemas.openxmlformats.org/markup-compatibility/2006">
          <mc:Choice Requires="x14">
            <control shapeId="7287" r:id="rId66" name="Check Box 119">
              <controlPr defaultSize="0" autoFill="0" autoLine="0" autoPict="0">
                <anchor moveWithCells="1">
                  <from>
                    <xdr:col>5</xdr:col>
                    <xdr:colOff>38100</xdr:colOff>
                    <xdr:row>75</xdr:row>
                    <xdr:rowOff>38100</xdr:rowOff>
                  </from>
                  <to>
                    <xdr:col>5</xdr:col>
                    <xdr:colOff>257175</xdr:colOff>
                    <xdr:row>75</xdr:row>
                    <xdr:rowOff>238125</xdr:rowOff>
                  </to>
                </anchor>
              </controlPr>
            </control>
          </mc:Choice>
        </mc:AlternateContent>
        <mc:AlternateContent xmlns:mc="http://schemas.openxmlformats.org/markup-compatibility/2006">
          <mc:Choice Requires="x14">
            <control shapeId="7292" r:id="rId67" name="Check Box 124">
              <controlPr defaultSize="0" autoFill="0" autoLine="0" autoPict="0">
                <anchor moveWithCells="1">
                  <from>
                    <xdr:col>5</xdr:col>
                    <xdr:colOff>38100</xdr:colOff>
                    <xdr:row>80</xdr:row>
                    <xdr:rowOff>38100</xdr:rowOff>
                  </from>
                  <to>
                    <xdr:col>5</xdr:col>
                    <xdr:colOff>257175</xdr:colOff>
                    <xdr:row>80</xdr:row>
                    <xdr:rowOff>238125</xdr:rowOff>
                  </to>
                </anchor>
              </controlPr>
            </control>
          </mc:Choice>
        </mc:AlternateContent>
        <mc:AlternateContent xmlns:mc="http://schemas.openxmlformats.org/markup-compatibility/2006">
          <mc:Choice Requires="x14">
            <control shapeId="7293" r:id="rId68" name="Check Box 125">
              <controlPr defaultSize="0" autoFill="0" autoLine="0" autoPict="0">
                <anchor moveWithCells="1">
                  <from>
                    <xdr:col>5</xdr:col>
                    <xdr:colOff>38100</xdr:colOff>
                    <xdr:row>81</xdr:row>
                    <xdr:rowOff>38100</xdr:rowOff>
                  </from>
                  <to>
                    <xdr:col>5</xdr:col>
                    <xdr:colOff>257175</xdr:colOff>
                    <xdr:row>81</xdr:row>
                    <xdr:rowOff>238125</xdr:rowOff>
                  </to>
                </anchor>
              </controlPr>
            </control>
          </mc:Choice>
        </mc:AlternateContent>
        <mc:AlternateContent xmlns:mc="http://schemas.openxmlformats.org/markup-compatibility/2006">
          <mc:Choice Requires="x14">
            <control shapeId="7294" r:id="rId69" name="Check Box 126">
              <controlPr defaultSize="0" autoFill="0" autoLine="0" autoPict="0">
                <anchor moveWithCells="1">
                  <from>
                    <xdr:col>5</xdr:col>
                    <xdr:colOff>38100</xdr:colOff>
                    <xdr:row>82</xdr:row>
                    <xdr:rowOff>38100</xdr:rowOff>
                  </from>
                  <to>
                    <xdr:col>5</xdr:col>
                    <xdr:colOff>257175</xdr:colOff>
                    <xdr:row>82</xdr:row>
                    <xdr:rowOff>238125</xdr:rowOff>
                  </to>
                </anchor>
              </controlPr>
            </control>
          </mc:Choice>
        </mc:AlternateContent>
        <mc:AlternateContent xmlns:mc="http://schemas.openxmlformats.org/markup-compatibility/2006">
          <mc:Choice Requires="x14">
            <control shapeId="7295" r:id="rId70" name="Check Box 127">
              <controlPr defaultSize="0" autoFill="0" autoLine="0" autoPict="0">
                <anchor moveWithCells="1">
                  <from>
                    <xdr:col>5</xdr:col>
                    <xdr:colOff>57150</xdr:colOff>
                    <xdr:row>133</xdr:row>
                    <xdr:rowOff>28575</xdr:rowOff>
                  </from>
                  <to>
                    <xdr:col>6</xdr:col>
                    <xdr:colOff>19050</xdr:colOff>
                    <xdr:row>133</xdr:row>
                    <xdr:rowOff>266700</xdr:rowOff>
                  </to>
                </anchor>
              </controlPr>
            </control>
          </mc:Choice>
        </mc:AlternateContent>
        <mc:AlternateContent xmlns:mc="http://schemas.openxmlformats.org/markup-compatibility/2006">
          <mc:Choice Requires="x14">
            <control shapeId="7299" r:id="rId71" name="Check Box 131">
              <controlPr defaultSize="0" autoFill="0" autoLine="0" autoPict="0">
                <anchor moveWithCells="1">
                  <from>
                    <xdr:col>5</xdr:col>
                    <xdr:colOff>38100</xdr:colOff>
                    <xdr:row>71</xdr:row>
                    <xdr:rowOff>38100</xdr:rowOff>
                  </from>
                  <to>
                    <xdr:col>5</xdr:col>
                    <xdr:colOff>257175</xdr:colOff>
                    <xdr:row>71</xdr:row>
                    <xdr:rowOff>238125</xdr:rowOff>
                  </to>
                </anchor>
              </controlPr>
            </control>
          </mc:Choice>
        </mc:AlternateContent>
        <mc:AlternateContent xmlns:mc="http://schemas.openxmlformats.org/markup-compatibility/2006">
          <mc:Choice Requires="x14">
            <control shapeId="7301" r:id="rId72" name="Check Box 133">
              <controlPr defaultSize="0" autoFill="0" autoLine="0" autoPict="0">
                <anchor moveWithCells="1">
                  <from>
                    <xdr:col>5</xdr:col>
                    <xdr:colOff>38100</xdr:colOff>
                    <xdr:row>68</xdr:row>
                    <xdr:rowOff>38100</xdr:rowOff>
                  </from>
                  <to>
                    <xdr:col>5</xdr:col>
                    <xdr:colOff>257175</xdr:colOff>
                    <xdr:row>68</xdr:row>
                    <xdr:rowOff>238125</xdr:rowOff>
                  </to>
                </anchor>
              </controlPr>
            </control>
          </mc:Choice>
        </mc:AlternateContent>
        <mc:AlternateContent xmlns:mc="http://schemas.openxmlformats.org/markup-compatibility/2006">
          <mc:Choice Requires="x14">
            <control shapeId="7302" r:id="rId73" name="Check Box 134">
              <controlPr defaultSize="0" autoFill="0" autoLine="0" autoPict="0">
                <anchor moveWithCells="1">
                  <from>
                    <xdr:col>5</xdr:col>
                    <xdr:colOff>38100</xdr:colOff>
                    <xdr:row>83</xdr:row>
                    <xdr:rowOff>38100</xdr:rowOff>
                  </from>
                  <to>
                    <xdr:col>5</xdr:col>
                    <xdr:colOff>257175</xdr:colOff>
                    <xdr:row>83</xdr:row>
                    <xdr:rowOff>238125</xdr:rowOff>
                  </to>
                </anchor>
              </controlPr>
            </control>
          </mc:Choice>
        </mc:AlternateContent>
        <mc:AlternateContent xmlns:mc="http://schemas.openxmlformats.org/markup-compatibility/2006">
          <mc:Choice Requires="x14">
            <control shapeId="7303" r:id="rId74" name="Check Box 135">
              <controlPr defaultSize="0" autoFill="0" autoLine="0" autoPict="0">
                <anchor moveWithCells="1">
                  <from>
                    <xdr:col>5</xdr:col>
                    <xdr:colOff>38100</xdr:colOff>
                    <xdr:row>84</xdr:row>
                    <xdr:rowOff>38100</xdr:rowOff>
                  </from>
                  <to>
                    <xdr:col>5</xdr:col>
                    <xdr:colOff>257175</xdr:colOff>
                    <xdr:row>84</xdr:row>
                    <xdr:rowOff>238125</xdr:rowOff>
                  </to>
                </anchor>
              </controlPr>
            </control>
          </mc:Choice>
        </mc:AlternateContent>
        <mc:AlternateContent xmlns:mc="http://schemas.openxmlformats.org/markup-compatibility/2006">
          <mc:Choice Requires="x14">
            <control shapeId="7305" r:id="rId75" name="Check Box 137">
              <controlPr defaultSize="0" autoFill="0" autoLine="0" autoPict="0">
                <anchor moveWithCells="1">
                  <from>
                    <xdr:col>5</xdr:col>
                    <xdr:colOff>38100</xdr:colOff>
                    <xdr:row>86</xdr:row>
                    <xdr:rowOff>38100</xdr:rowOff>
                  </from>
                  <to>
                    <xdr:col>5</xdr:col>
                    <xdr:colOff>257175</xdr:colOff>
                    <xdr:row>86</xdr:row>
                    <xdr:rowOff>238125</xdr:rowOff>
                  </to>
                </anchor>
              </controlPr>
            </control>
          </mc:Choice>
        </mc:AlternateContent>
        <mc:AlternateContent xmlns:mc="http://schemas.openxmlformats.org/markup-compatibility/2006">
          <mc:Choice Requires="x14">
            <control shapeId="7205" r:id="rId76" name="Check Box 37">
              <controlPr defaultSize="0" autoFill="0" autoLine="0" autoPict="0">
                <anchor moveWithCells="1">
                  <from>
                    <xdr:col>5</xdr:col>
                    <xdr:colOff>38100</xdr:colOff>
                    <xdr:row>23</xdr:row>
                    <xdr:rowOff>38100</xdr:rowOff>
                  </from>
                  <to>
                    <xdr:col>5</xdr:col>
                    <xdr:colOff>257175</xdr:colOff>
                    <xdr:row>28</xdr:row>
                    <xdr:rowOff>200025</xdr:rowOff>
                  </to>
                </anchor>
              </controlPr>
            </control>
          </mc:Choice>
        </mc:AlternateContent>
        <mc:AlternateContent xmlns:mc="http://schemas.openxmlformats.org/markup-compatibility/2006">
          <mc:Choice Requires="x14">
            <control shapeId="7257" r:id="rId77" name="Check Box 89">
              <controlPr defaultSize="0" autoFill="0" autoLine="0" autoPict="0">
                <anchor moveWithCells="1">
                  <from>
                    <xdr:col>5</xdr:col>
                    <xdr:colOff>38100</xdr:colOff>
                    <xdr:row>35</xdr:row>
                    <xdr:rowOff>38100</xdr:rowOff>
                  </from>
                  <to>
                    <xdr:col>5</xdr:col>
                    <xdr:colOff>257175</xdr:colOff>
                    <xdr:row>37</xdr:row>
                    <xdr:rowOff>200025</xdr:rowOff>
                  </to>
                </anchor>
              </controlPr>
            </control>
          </mc:Choice>
        </mc:AlternateContent>
        <mc:AlternateContent xmlns:mc="http://schemas.openxmlformats.org/markup-compatibility/2006">
          <mc:Choice Requires="x14">
            <control shapeId="7309" r:id="rId78" name="Check Box 141">
              <controlPr defaultSize="0" autoFill="0" autoLine="0" autoPict="0">
                <anchor moveWithCells="1">
                  <from>
                    <xdr:col>5</xdr:col>
                    <xdr:colOff>47625</xdr:colOff>
                    <xdr:row>131</xdr:row>
                    <xdr:rowOff>0</xdr:rowOff>
                  </from>
                  <to>
                    <xdr:col>6</xdr:col>
                    <xdr:colOff>9525</xdr:colOff>
                    <xdr:row>131</xdr:row>
                    <xdr:rowOff>238125</xdr:rowOff>
                  </to>
                </anchor>
              </controlPr>
            </control>
          </mc:Choice>
        </mc:AlternateContent>
        <mc:AlternateContent xmlns:mc="http://schemas.openxmlformats.org/markup-compatibility/2006">
          <mc:Choice Requires="x14">
            <control shapeId="7315" r:id="rId79" name="Check Box 147">
              <controlPr defaultSize="0" autoFill="0" autoLine="0" autoPict="0">
                <anchor moveWithCells="1">
                  <from>
                    <xdr:col>5</xdr:col>
                    <xdr:colOff>38100</xdr:colOff>
                    <xdr:row>80</xdr:row>
                    <xdr:rowOff>38100</xdr:rowOff>
                  </from>
                  <to>
                    <xdr:col>5</xdr:col>
                    <xdr:colOff>257175</xdr:colOff>
                    <xdr:row>80</xdr:row>
                    <xdr:rowOff>238125</xdr:rowOff>
                  </to>
                </anchor>
              </controlPr>
            </control>
          </mc:Choice>
        </mc:AlternateContent>
        <mc:AlternateContent xmlns:mc="http://schemas.openxmlformats.org/markup-compatibility/2006">
          <mc:Choice Requires="x14">
            <control shapeId="7316" r:id="rId80" name="Check Box 148">
              <controlPr defaultSize="0" autoFill="0" autoLine="0" autoPict="0">
                <anchor moveWithCells="1">
                  <from>
                    <xdr:col>5</xdr:col>
                    <xdr:colOff>38100</xdr:colOff>
                    <xdr:row>81</xdr:row>
                    <xdr:rowOff>38100</xdr:rowOff>
                  </from>
                  <to>
                    <xdr:col>5</xdr:col>
                    <xdr:colOff>257175</xdr:colOff>
                    <xdr:row>81</xdr:row>
                    <xdr:rowOff>238125</xdr:rowOff>
                  </to>
                </anchor>
              </controlPr>
            </control>
          </mc:Choice>
        </mc:AlternateContent>
        <mc:AlternateContent xmlns:mc="http://schemas.openxmlformats.org/markup-compatibility/2006">
          <mc:Choice Requires="x14">
            <control shapeId="7319" r:id="rId81" name="Check Box 151">
              <controlPr defaultSize="0" autoFill="0" autoLine="0" autoPict="0">
                <anchor moveWithCells="1">
                  <from>
                    <xdr:col>5</xdr:col>
                    <xdr:colOff>38100</xdr:colOff>
                    <xdr:row>84</xdr:row>
                    <xdr:rowOff>38100</xdr:rowOff>
                  </from>
                  <to>
                    <xdr:col>5</xdr:col>
                    <xdr:colOff>257175</xdr:colOff>
                    <xdr:row>84</xdr:row>
                    <xdr:rowOff>238125</xdr:rowOff>
                  </to>
                </anchor>
              </controlPr>
            </control>
          </mc:Choice>
        </mc:AlternateContent>
        <mc:AlternateContent xmlns:mc="http://schemas.openxmlformats.org/markup-compatibility/2006">
          <mc:Choice Requires="x14">
            <control shapeId="7320" r:id="rId82" name="Check Box 152">
              <controlPr defaultSize="0" autoFill="0" autoLine="0" autoPict="0">
                <anchor moveWithCells="1">
                  <from>
                    <xdr:col>5</xdr:col>
                    <xdr:colOff>38100</xdr:colOff>
                    <xdr:row>86</xdr:row>
                    <xdr:rowOff>38100</xdr:rowOff>
                  </from>
                  <to>
                    <xdr:col>5</xdr:col>
                    <xdr:colOff>257175</xdr:colOff>
                    <xdr:row>86</xdr:row>
                    <xdr:rowOff>238125</xdr:rowOff>
                  </to>
                </anchor>
              </controlPr>
            </control>
          </mc:Choice>
        </mc:AlternateContent>
        <mc:AlternateContent xmlns:mc="http://schemas.openxmlformats.org/markup-compatibility/2006">
          <mc:Choice Requires="x14">
            <control shapeId="7321" r:id="rId83" name="Check Box 153">
              <controlPr defaultSize="0" autoFill="0" autoLine="0" autoPict="0">
                <anchor moveWithCells="1">
                  <from>
                    <xdr:col>5</xdr:col>
                    <xdr:colOff>38100</xdr:colOff>
                    <xdr:row>85</xdr:row>
                    <xdr:rowOff>38100</xdr:rowOff>
                  </from>
                  <to>
                    <xdr:col>5</xdr:col>
                    <xdr:colOff>257175</xdr:colOff>
                    <xdr:row>85</xdr:row>
                    <xdr:rowOff>238125</xdr:rowOff>
                  </to>
                </anchor>
              </controlPr>
            </control>
          </mc:Choice>
        </mc:AlternateContent>
        <mc:AlternateContent xmlns:mc="http://schemas.openxmlformats.org/markup-compatibility/2006">
          <mc:Choice Requires="x14">
            <control shapeId="7322" r:id="rId84" name="Check Box 154">
              <controlPr defaultSize="0" autoFill="0" autoLine="0" autoPict="0">
                <anchor moveWithCells="1">
                  <from>
                    <xdr:col>5</xdr:col>
                    <xdr:colOff>38100</xdr:colOff>
                    <xdr:row>85</xdr:row>
                    <xdr:rowOff>38100</xdr:rowOff>
                  </from>
                  <to>
                    <xdr:col>5</xdr:col>
                    <xdr:colOff>257175</xdr:colOff>
                    <xdr:row>85</xdr:row>
                    <xdr:rowOff>238125</xdr:rowOff>
                  </to>
                </anchor>
              </controlPr>
            </control>
          </mc:Choice>
        </mc:AlternateContent>
        <mc:AlternateContent xmlns:mc="http://schemas.openxmlformats.org/markup-compatibility/2006">
          <mc:Choice Requires="x14">
            <control shapeId="7323" r:id="rId85" name="Check Box 155">
              <controlPr defaultSize="0" autoFill="0" autoLine="0" autoPict="0">
                <anchor moveWithCells="1">
                  <from>
                    <xdr:col>5</xdr:col>
                    <xdr:colOff>38100</xdr:colOff>
                    <xdr:row>85</xdr:row>
                    <xdr:rowOff>38100</xdr:rowOff>
                  </from>
                  <to>
                    <xdr:col>5</xdr:col>
                    <xdr:colOff>257175</xdr:colOff>
                    <xdr:row>85</xdr:row>
                    <xdr:rowOff>238125</xdr:rowOff>
                  </to>
                </anchor>
              </controlPr>
            </control>
          </mc:Choice>
        </mc:AlternateContent>
        <mc:AlternateContent xmlns:mc="http://schemas.openxmlformats.org/markup-compatibility/2006">
          <mc:Choice Requires="x14">
            <control shapeId="7324" r:id="rId86" name="Check Box 156">
              <controlPr defaultSize="0" autoFill="0" autoLine="0" autoPict="0">
                <anchor moveWithCells="1">
                  <from>
                    <xdr:col>5</xdr:col>
                    <xdr:colOff>38100</xdr:colOff>
                    <xdr:row>85</xdr:row>
                    <xdr:rowOff>38100</xdr:rowOff>
                  </from>
                  <to>
                    <xdr:col>5</xdr:col>
                    <xdr:colOff>257175</xdr:colOff>
                    <xdr:row>85</xdr:row>
                    <xdr:rowOff>238125</xdr:rowOff>
                  </to>
                </anchor>
              </controlPr>
            </control>
          </mc:Choice>
        </mc:AlternateContent>
        <mc:AlternateContent xmlns:mc="http://schemas.openxmlformats.org/markup-compatibility/2006">
          <mc:Choice Requires="x14">
            <control shapeId="7325" r:id="rId87" name="Check Box 157">
              <controlPr defaultSize="0" autoFill="0" autoLine="0" autoPict="0">
                <anchor moveWithCells="1">
                  <from>
                    <xdr:col>5</xdr:col>
                    <xdr:colOff>38100</xdr:colOff>
                    <xdr:row>90</xdr:row>
                    <xdr:rowOff>38100</xdr:rowOff>
                  </from>
                  <to>
                    <xdr:col>5</xdr:col>
                    <xdr:colOff>257175</xdr:colOff>
                    <xdr:row>90</xdr:row>
                    <xdr:rowOff>238125</xdr:rowOff>
                  </to>
                </anchor>
              </controlPr>
            </control>
          </mc:Choice>
        </mc:AlternateContent>
        <mc:AlternateContent xmlns:mc="http://schemas.openxmlformats.org/markup-compatibility/2006">
          <mc:Choice Requires="x14">
            <control shapeId="7326" r:id="rId88" name="Check Box 158">
              <controlPr defaultSize="0" autoFill="0" autoLine="0" autoPict="0">
                <anchor moveWithCells="1">
                  <from>
                    <xdr:col>5</xdr:col>
                    <xdr:colOff>38100</xdr:colOff>
                    <xdr:row>90</xdr:row>
                    <xdr:rowOff>38100</xdr:rowOff>
                  </from>
                  <to>
                    <xdr:col>5</xdr:col>
                    <xdr:colOff>257175</xdr:colOff>
                    <xdr:row>90</xdr:row>
                    <xdr:rowOff>238125</xdr:rowOff>
                  </to>
                </anchor>
              </controlPr>
            </control>
          </mc:Choice>
        </mc:AlternateContent>
        <mc:AlternateContent xmlns:mc="http://schemas.openxmlformats.org/markup-compatibility/2006">
          <mc:Choice Requires="x14">
            <control shapeId="7327" r:id="rId89" name="Check Box 159">
              <controlPr defaultSize="0" autoFill="0" autoLine="0" autoPict="0">
                <anchor moveWithCells="1">
                  <from>
                    <xdr:col>5</xdr:col>
                    <xdr:colOff>38100</xdr:colOff>
                    <xdr:row>91</xdr:row>
                    <xdr:rowOff>38100</xdr:rowOff>
                  </from>
                  <to>
                    <xdr:col>5</xdr:col>
                    <xdr:colOff>257175</xdr:colOff>
                    <xdr:row>91</xdr:row>
                    <xdr:rowOff>238125</xdr:rowOff>
                  </to>
                </anchor>
              </controlPr>
            </control>
          </mc:Choice>
        </mc:AlternateContent>
        <mc:AlternateContent xmlns:mc="http://schemas.openxmlformats.org/markup-compatibility/2006">
          <mc:Choice Requires="x14">
            <control shapeId="7328" r:id="rId90" name="Check Box 160">
              <controlPr defaultSize="0" autoFill="0" autoLine="0" autoPict="0">
                <anchor moveWithCells="1">
                  <from>
                    <xdr:col>5</xdr:col>
                    <xdr:colOff>38100</xdr:colOff>
                    <xdr:row>91</xdr:row>
                    <xdr:rowOff>38100</xdr:rowOff>
                  </from>
                  <to>
                    <xdr:col>5</xdr:col>
                    <xdr:colOff>257175</xdr:colOff>
                    <xdr:row>91</xdr:row>
                    <xdr:rowOff>238125</xdr:rowOff>
                  </to>
                </anchor>
              </controlPr>
            </control>
          </mc:Choice>
        </mc:AlternateContent>
        <mc:AlternateContent xmlns:mc="http://schemas.openxmlformats.org/markup-compatibility/2006">
          <mc:Choice Requires="x14">
            <control shapeId="7329" r:id="rId91" name="Check Box 161">
              <controlPr defaultSize="0" autoFill="0" autoLine="0" autoPict="0">
                <anchor moveWithCells="1">
                  <from>
                    <xdr:col>5</xdr:col>
                    <xdr:colOff>38100</xdr:colOff>
                    <xdr:row>92</xdr:row>
                    <xdr:rowOff>38100</xdr:rowOff>
                  </from>
                  <to>
                    <xdr:col>5</xdr:col>
                    <xdr:colOff>257175</xdr:colOff>
                    <xdr:row>92</xdr:row>
                    <xdr:rowOff>238125</xdr:rowOff>
                  </to>
                </anchor>
              </controlPr>
            </control>
          </mc:Choice>
        </mc:AlternateContent>
        <mc:AlternateContent xmlns:mc="http://schemas.openxmlformats.org/markup-compatibility/2006">
          <mc:Choice Requires="x14">
            <control shapeId="7330" r:id="rId92" name="Check Box 162">
              <controlPr defaultSize="0" autoFill="0" autoLine="0" autoPict="0">
                <anchor moveWithCells="1">
                  <from>
                    <xdr:col>5</xdr:col>
                    <xdr:colOff>38100</xdr:colOff>
                    <xdr:row>92</xdr:row>
                    <xdr:rowOff>38100</xdr:rowOff>
                  </from>
                  <to>
                    <xdr:col>5</xdr:col>
                    <xdr:colOff>257175</xdr:colOff>
                    <xdr:row>92</xdr:row>
                    <xdr:rowOff>238125</xdr:rowOff>
                  </to>
                </anchor>
              </controlPr>
            </control>
          </mc:Choice>
        </mc:AlternateContent>
        <mc:AlternateContent xmlns:mc="http://schemas.openxmlformats.org/markup-compatibility/2006">
          <mc:Choice Requires="x14">
            <control shapeId="7331" r:id="rId93" name="Check Box 163">
              <controlPr defaultSize="0" autoFill="0" autoLine="0" autoPict="0">
                <anchor moveWithCells="1">
                  <from>
                    <xdr:col>5</xdr:col>
                    <xdr:colOff>38100</xdr:colOff>
                    <xdr:row>93</xdr:row>
                    <xdr:rowOff>38100</xdr:rowOff>
                  </from>
                  <to>
                    <xdr:col>5</xdr:col>
                    <xdr:colOff>257175</xdr:colOff>
                    <xdr:row>93</xdr:row>
                    <xdr:rowOff>238125</xdr:rowOff>
                  </to>
                </anchor>
              </controlPr>
            </control>
          </mc:Choice>
        </mc:AlternateContent>
        <mc:AlternateContent xmlns:mc="http://schemas.openxmlformats.org/markup-compatibility/2006">
          <mc:Choice Requires="x14">
            <control shapeId="7332" r:id="rId94" name="Check Box 164">
              <controlPr defaultSize="0" autoFill="0" autoLine="0" autoPict="0">
                <anchor moveWithCells="1">
                  <from>
                    <xdr:col>5</xdr:col>
                    <xdr:colOff>38100</xdr:colOff>
                    <xdr:row>93</xdr:row>
                    <xdr:rowOff>38100</xdr:rowOff>
                  </from>
                  <to>
                    <xdr:col>5</xdr:col>
                    <xdr:colOff>257175</xdr:colOff>
                    <xdr:row>93</xdr:row>
                    <xdr:rowOff>238125</xdr:rowOff>
                  </to>
                </anchor>
              </controlPr>
            </control>
          </mc:Choice>
        </mc:AlternateContent>
        <mc:AlternateContent xmlns:mc="http://schemas.openxmlformats.org/markup-compatibility/2006">
          <mc:Choice Requires="x14">
            <control shapeId="7333" r:id="rId95" name="Check Box 165">
              <controlPr defaultSize="0" autoFill="0" autoLine="0" autoPict="0">
                <anchor moveWithCells="1">
                  <from>
                    <xdr:col>5</xdr:col>
                    <xdr:colOff>38100</xdr:colOff>
                    <xdr:row>94</xdr:row>
                    <xdr:rowOff>38100</xdr:rowOff>
                  </from>
                  <to>
                    <xdr:col>5</xdr:col>
                    <xdr:colOff>257175</xdr:colOff>
                    <xdr:row>94</xdr:row>
                    <xdr:rowOff>238125</xdr:rowOff>
                  </to>
                </anchor>
              </controlPr>
            </control>
          </mc:Choice>
        </mc:AlternateContent>
        <mc:AlternateContent xmlns:mc="http://schemas.openxmlformats.org/markup-compatibility/2006">
          <mc:Choice Requires="x14">
            <control shapeId="7334" r:id="rId96" name="Check Box 166">
              <controlPr defaultSize="0" autoFill="0" autoLine="0" autoPict="0">
                <anchor moveWithCells="1">
                  <from>
                    <xdr:col>5</xdr:col>
                    <xdr:colOff>38100</xdr:colOff>
                    <xdr:row>94</xdr:row>
                    <xdr:rowOff>38100</xdr:rowOff>
                  </from>
                  <to>
                    <xdr:col>5</xdr:col>
                    <xdr:colOff>257175</xdr:colOff>
                    <xdr:row>94</xdr:row>
                    <xdr:rowOff>238125</xdr:rowOff>
                  </to>
                </anchor>
              </controlPr>
            </control>
          </mc:Choice>
        </mc:AlternateContent>
        <mc:AlternateContent xmlns:mc="http://schemas.openxmlformats.org/markup-compatibility/2006">
          <mc:Choice Requires="x14">
            <control shapeId="7335" r:id="rId97" name="Check Box 167">
              <controlPr defaultSize="0" autoFill="0" autoLine="0" autoPict="0">
                <anchor moveWithCells="1">
                  <from>
                    <xdr:col>5</xdr:col>
                    <xdr:colOff>38100</xdr:colOff>
                    <xdr:row>95</xdr:row>
                    <xdr:rowOff>38100</xdr:rowOff>
                  </from>
                  <to>
                    <xdr:col>5</xdr:col>
                    <xdr:colOff>257175</xdr:colOff>
                    <xdr:row>95</xdr:row>
                    <xdr:rowOff>238125</xdr:rowOff>
                  </to>
                </anchor>
              </controlPr>
            </control>
          </mc:Choice>
        </mc:AlternateContent>
        <mc:AlternateContent xmlns:mc="http://schemas.openxmlformats.org/markup-compatibility/2006">
          <mc:Choice Requires="x14">
            <control shapeId="7336" r:id="rId98" name="Check Box 168">
              <controlPr defaultSize="0" autoFill="0" autoLine="0" autoPict="0">
                <anchor moveWithCells="1">
                  <from>
                    <xdr:col>5</xdr:col>
                    <xdr:colOff>38100</xdr:colOff>
                    <xdr:row>95</xdr:row>
                    <xdr:rowOff>38100</xdr:rowOff>
                  </from>
                  <to>
                    <xdr:col>5</xdr:col>
                    <xdr:colOff>257175</xdr:colOff>
                    <xdr:row>95</xdr:row>
                    <xdr:rowOff>238125</xdr:rowOff>
                  </to>
                </anchor>
              </controlPr>
            </control>
          </mc:Choice>
        </mc:AlternateContent>
        <mc:AlternateContent xmlns:mc="http://schemas.openxmlformats.org/markup-compatibility/2006">
          <mc:Choice Requires="x14">
            <control shapeId="7337" r:id="rId99" name="Check Box 169">
              <controlPr defaultSize="0" autoFill="0" autoLine="0" autoPict="0">
                <anchor moveWithCells="1">
                  <from>
                    <xdr:col>5</xdr:col>
                    <xdr:colOff>38100</xdr:colOff>
                    <xdr:row>96</xdr:row>
                    <xdr:rowOff>38100</xdr:rowOff>
                  </from>
                  <to>
                    <xdr:col>5</xdr:col>
                    <xdr:colOff>257175</xdr:colOff>
                    <xdr:row>96</xdr:row>
                    <xdr:rowOff>238125</xdr:rowOff>
                  </to>
                </anchor>
              </controlPr>
            </control>
          </mc:Choice>
        </mc:AlternateContent>
        <mc:AlternateContent xmlns:mc="http://schemas.openxmlformats.org/markup-compatibility/2006">
          <mc:Choice Requires="x14">
            <control shapeId="7338" r:id="rId100" name="Check Box 170">
              <controlPr defaultSize="0" autoFill="0" autoLine="0" autoPict="0">
                <anchor moveWithCells="1">
                  <from>
                    <xdr:col>5</xdr:col>
                    <xdr:colOff>38100</xdr:colOff>
                    <xdr:row>96</xdr:row>
                    <xdr:rowOff>38100</xdr:rowOff>
                  </from>
                  <to>
                    <xdr:col>5</xdr:col>
                    <xdr:colOff>257175</xdr:colOff>
                    <xdr:row>96</xdr:row>
                    <xdr:rowOff>238125</xdr:rowOff>
                  </to>
                </anchor>
              </controlPr>
            </control>
          </mc:Choice>
        </mc:AlternateContent>
        <mc:AlternateContent xmlns:mc="http://schemas.openxmlformats.org/markup-compatibility/2006">
          <mc:Choice Requires="x14">
            <control shapeId="7339" r:id="rId101" name="Check Box 171">
              <controlPr defaultSize="0" autoFill="0" autoLine="0" autoPict="0">
                <anchor moveWithCells="1">
                  <from>
                    <xdr:col>5</xdr:col>
                    <xdr:colOff>38100</xdr:colOff>
                    <xdr:row>97</xdr:row>
                    <xdr:rowOff>38100</xdr:rowOff>
                  </from>
                  <to>
                    <xdr:col>5</xdr:col>
                    <xdr:colOff>257175</xdr:colOff>
                    <xdr:row>97</xdr:row>
                    <xdr:rowOff>238125</xdr:rowOff>
                  </to>
                </anchor>
              </controlPr>
            </control>
          </mc:Choice>
        </mc:AlternateContent>
        <mc:AlternateContent xmlns:mc="http://schemas.openxmlformats.org/markup-compatibility/2006">
          <mc:Choice Requires="x14">
            <control shapeId="7340" r:id="rId102" name="Check Box 172">
              <controlPr defaultSize="0" autoFill="0" autoLine="0" autoPict="0">
                <anchor moveWithCells="1">
                  <from>
                    <xdr:col>5</xdr:col>
                    <xdr:colOff>38100</xdr:colOff>
                    <xdr:row>97</xdr:row>
                    <xdr:rowOff>38100</xdr:rowOff>
                  </from>
                  <to>
                    <xdr:col>5</xdr:col>
                    <xdr:colOff>257175</xdr:colOff>
                    <xdr:row>97</xdr:row>
                    <xdr:rowOff>238125</xdr:rowOff>
                  </to>
                </anchor>
              </controlPr>
            </control>
          </mc:Choice>
        </mc:AlternateContent>
        <mc:AlternateContent xmlns:mc="http://schemas.openxmlformats.org/markup-compatibility/2006">
          <mc:Choice Requires="x14">
            <control shapeId="7341" r:id="rId103" name="Check Box 173">
              <controlPr defaultSize="0" autoFill="0" autoLine="0" autoPict="0">
                <anchor moveWithCells="1">
                  <from>
                    <xdr:col>5</xdr:col>
                    <xdr:colOff>38100</xdr:colOff>
                    <xdr:row>98</xdr:row>
                    <xdr:rowOff>38100</xdr:rowOff>
                  </from>
                  <to>
                    <xdr:col>5</xdr:col>
                    <xdr:colOff>257175</xdr:colOff>
                    <xdr:row>98</xdr:row>
                    <xdr:rowOff>238125</xdr:rowOff>
                  </to>
                </anchor>
              </controlPr>
            </control>
          </mc:Choice>
        </mc:AlternateContent>
        <mc:AlternateContent xmlns:mc="http://schemas.openxmlformats.org/markup-compatibility/2006">
          <mc:Choice Requires="x14">
            <control shapeId="7342" r:id="rId104" name="Check Box 174">
              <controlPr defaultSize="0" autoFill="0" autoLine="0" autoPict="0">
                <anchor moveWithCells="1">
                  <from>
                    <xdr:col>5</xdr:col>
                    <xdr:colOff>38100</xdr:colOff>
                    <xdr:row>98</xdr:row>
                    <xdr:rowOff>38100</xdr:rowOff>
                  </from>
                  <to>
                    <xdr:col>5</xdr:col>
                    <xdr:colOff>257175</xdr:colOff>
                    <xdr:row>98</xdr:row>
                    <xdr:rowOff>238125</xdr:rowOff>
                  </to>
                </anchor>
              </controlPr>
            </control>
          </mc:Choice>
        </mc:AlternateContent>
        <mc:AlternateContent xmlns:mc="http://schemas.openxmlformats.org/markup-compatibility/2006">
          <mc:Choice Requires="x14">
            <control shapeId="7345" r:id="rId105" name="Check Box 177">
              <controlPr defaultSize="0" autoFill="0" autoLine="0" autoPict="0">
                <anchor moveWithCells="1">
                  <from>
                    <xdr:col>5</xdr:col>
                    <xdr:colOff>38100</xdr:colOff>
                    <xdr:row>102</xdr:row>
                    <xdr:rowOff>38100</xdr:rowOff>
                  </from>
                  <to>
                    <xdr:col>5</xdr:col>
                    <xdr:colOff>257175</xdr:colOff>
                    <xdr:row>102</xdr:row>
                    <xdr:rowOff>238125</xdr:rowOff>
                  </to>
                </anchor>
              </controlPr>
            </control>
          </mc:Choice>
        </mc:AlternateContent>
        <mc:AlternateContent xmlns:mc="http://schemas.openxmlformats.org/markup-compatibility/2006">
          <mc:Choice Requires="x14">
            <control shapeId="7346" r:id="rId106" name="Check Box 178">
              <controlPr defaultSize="0" autoFill="0" autoLine="0" autoPict="0">
                <anchor moveWithCells="1">
                  <from>
                    <xdr:col>5</xdr:col>
                    <xdr:colOff>38100</xdr:colOff>
                    <xdr:row>102</xdr:row>
                    <xdr:rowOff>38100</xdr:rowOff>
                  </from>
                  <to>
                    <xdr:col>5</xdr:col>
                    <xdr:colOff>257175</xdr:colOff>
                    <xdr:row>102</xdr:row>
                    <xdr:rowOff>238125</xdr:rowOff>
                  </to>
                </anchor>
              </controlPr>
            </control>
          </mc:Choice>
        </mc:AlternateContent>
        <mc:AlternateContent xmlns:mc="http://schemas.openxmlformats.org/markup-compatibility/2006">
          <mc:Choice Requires="x14">
            <control shapeId="7356" r:id="rId107" name="Check Box 188">
              <controlPr defaultSize="0" autoFill="0" autoLine="0" autoPict="0">
                <anchor moveWithCells="1">
                  <from>
                    <xdr:col>5</xdr:col>
                    <xdr:colOff>38100</xdr:colOff>
                    <xdr:row>99</xdr:row>
                    <xdr:rowOff>38100</xdr:rowOff>
                  </from>
                  <to>
                    <xdr:col>5</xdr:col>
                    <xdr:colOff>257175</xdr:colOff>
                    <xdr:row>99</xdr:row>
                    <xdr:rowOff>238125</xdr:rowOff>
                  </to>
                </anchor>
              </controlPr>
            </control>
          </mc:Choice>
        </mc:AlternateContent>
        <mc:AlternateContent xmlns:mc="http://schemas.openxmlformats.org/markup-compatibility/2006">
          <mc:Choice Requires="x14">
            <control shapeId="7357" r:id="rId108" name="Check Box 189">
              <controlPr defaultSize="0" autoFill="0" autoLine="0" autoPict="0">
                <anchor moveWithCells="1">
                  <from>
                    <xdr:col>5</xdr:col>
                    <xdr:colOff>38100</xdr:colOff>
                    <xdr:row>99</xdr:row>
                    <xdr:rowOff>38100</xdr:rowOff>
                  </from>
                  <to>
                    <xdr:col>5</xdr:col>
                    <xdr:colOff>257175</xdr:colOff>
                    <xdr:row>99</xdr:row>
                    <xdr:rowOff>238125</xdr:rowOff>
                  </to>
                </anchor>
              </controlPr>
            </control>
          </mc:Choice>
        </mc:AlternateContent>
        <mc:AlternateContent xmlns:mc="http://schemas.openxmlformats.org/markup-compatibility/2006">
          <mc:Choice Requires="x14">
            <control shapeId="7372" r:id="rId109" name="Check Box 204">
              <controlPr defaultSize="0" autoFill="0" autoLine="0" autoPict="0">
                <anchor moveWithCells="1">
                  <from>
                    <xdr:col>5</xdr:col>
                    <xdr:colOff>57150</xdr:colOff>
                    <xdr:row>134</xdr:row>
                    <xdr:rowOff>28575</xdr:rowOff>
                  </from>
                  <to>
                    <xdr:col>6</xdr:col>
                    <xdr:colOff>19050</xdr:colOff>
                    <xdr:row>134</xdr:row>
                    <xdr:rowOff>266700</xdr:rowOff>
                  </to>
                </anchor>
              </controlPr>
            </control>
          </mc:Choice>
        </mc:AlternateContent>
        <mc:AlternateContent xmlns:mc="http://schemas.openxmlformats.org/markup-compatibility/2006">
          <mc:Choice Requires="x14">
            <control shapeId="7378" r:id="rId110" name="Check Box 210">
              <controlPr defaultSize="0" autoFill="0" autoLine="0" autoPict="0">
                <anchor moveWithCells="1">
                  <from>
                    <xdr:col>5</xdr:col>
                    <xdr:colOff>57150</xdr:colOff>
                    <xdr:row>144</xdr:row>
                    <xdr:rowOff>28575</xdr:rowOff>
                  </from>
                  <to>
                    <xdr:col>6</xdr:col>
                    <xdr:colOff>19050</xdr:colOff>
                    <xdr:row>144</xdr:row>
                    <xdr:rowOff>266700</xdr:rowOff>
                  </to>
                </anchor>
              </controlPr>
            </control>
          </mc:Choice>
        </mc:AlternateContent>
        <mc:AlternateContent xmlns:mc="http://schemas.openxmlformats.org/markup-compatibility/2006">
          <mc:Choice Requires="x14">
            <control shapeId="7379" r:id="rId111" name="Check Box 211">
              <controlPr defaultSize="0" autoFill="0" autoLine="0" autoPict="0">
                <anchor moveWithCells="1">
                  <from>
                    <xdr:col>5</xdr:col>
                    <xdr:colOff>57150</xdr:colOff>
                    <xdr:row>145</xdr:row>
                    <xdr:rowOff>28575</xdr:rowOff>
                  </from>
                  <to>
                    <xdr:col>6</xdr:col>
                    <xdr:colOff>19050</xdr:colOff>
                    <xdr:row>145</xdr:row>
                    <xdr:rowOff>266700</xdr:rowOff>
                  </to>
                </anchor>
              </controlPr>
            </control>
          </mc:Choice>
        </mc:AlternateContent>
        <mc:AlternateContent xmlns:mc="http://schemas.openxmlformats.org/markup-compatibility/2006">
          <mc:Choice Requires="x14">
            <control shapeId="7380" r:id="rId112" name="Check Box 212">
              <controlPr defaultSize="0" autoFill="0" autoLine="0" autoPict="0">
                <anchor moveWithCells="1">
                  <from>
                    <xdr:col>5</xdr:col>
                    <xdr:colOff>57150</xdr:colOff>
                    <xdr:row>146</xdr:row>
                    <xdr:rowOff>28575</xdr:rowOff>
                  </from>
                  <to>
                    <xdr:col>6</xdr:col>
                    <xdr:colOff>19050</xdr:colOff>
                    <xdr:row>146</xdr:row>
                    <xdr:rowOff>266700</xdr:rowOff>
                  </to>
                </anchor>
              </controlPr>
            </control>
          </mc:Choice>
        </mc:AlternateContent>
        <mc:AlternateContent xmlns:mc="http://schemas.openxmlformats.org/markup-compatibility/2006">
          <mc:Choice Requires="x14">
            <control shapeId="7381" r:id="rId113" name="Check Box 213">
              <controlPr defaultSize="0" autoFill="0" autoLine="0" autoPict="0">
                <anchor moveWithCells="1">
                  <from>
                    <xdr:col>5</xdr:col>
                    <xdr:colOff>47625</xdr:colOff>
                    <xdr:row>122</xdr:row>
                    <xdr:rowOff>0</xdr:rowOff>
                  </from>
                  <to>
                    <xdr:col>6</xdr:col>
                    <xdr:colOff>9525</xdr:colOff>
                    <xdr:row>122</xdr:row>
                    <xdr:rowOff>238125</xdr:rowOff>
                  </to>
                </anchor>
              </controlPr>
            </control>
          </mc:Choice>
        </mc:AlternateContent>
        <mc:AlternateContent xmlns:mc="http://schemas.openxmlformats.org/markup-compatibility/2006">
          <mc:Choice Requires="x14">
            <control shapeId="7382" r:id="rId114" name="Check Box 214">
              <controlPr defaultSize="0" autoFill="0" autoLine="0" autoPict="0">
                <anchor moveWithCells="1">
                  <from>
                    <xdr:col>5</xdr:col>
                    <xdr:colOff>47625</xdr:colOff>
                    <xdr:row>121</xdr:row>
                    <xdr:rowOff>0</xdr:rowOff>
                  </from>
                  <to>
                    <xdr:col>6</xdr:col>
                    <xdr:colOff>9525</xdr:colOff>
                    <xdr:row>121</xdr:row>
                    <xdr:rowOff>238125</xdr:rowOff>
                  </to>
                </anchor>
              </controlPr>
            </control>
          </mc:Choice>
        </mc:AlternateContent>
        <mc:AlternateContent xmlns:mc="http://schemas.openxmlformats.org/markup-compatibility/2006">
          <mc:Choice Requires="x14">
            <control shapeId="7383" r:id="rId115" name="Check Box 215">
              <controlPr defaultSize="0" autoFill="0" autoLine="0" autoPict="0">
                <anchor moveWithCells="1">
                  <from>
                    <xdr:col>5</xdr:col>
                    <xdr:colOff>38100</xdr:colOff>
                    <xdr:row>3</xdr:row>
                    <xdr:rowOff>9525</xdr:rowOff>
                  </from>
                  <to>
                    <xdr:col>6</xdr:col>
                    <xdr:colOff>0</xdr:colOff>
                    <xdr:row>3</xdr:row>
                    <xdr:rowOff>247650</xdr:rowOff>
                  </to>
                </anchor>
              </controlPr>
            </control>
          </mc:Choice>
        </mc:AlternateContent>
        <mc:AlternateContent xmlns:mc="http://schemas.openxmlformats.org/markup-compatibility/2006">
          <mc:Choice Requires="x14">
            <control shapeId="7221" r:id="rId116" name="Check Box 53">
              <controlPr defaultSize="0" autoFill="0" autoLine="0" autoPict="0">
                <anchor moveWithCells="1">
                  <from>
                    <xdr:col>5</xdr:col>
                    <xdr:colOff>38100</xdr:colOff>
                    <xdr:row>109</xdr:row>
                    <xdr:rowOff>9525</xdr:rowOff>
                  </from>
                  <to>
                    <xdr:col>6</xdr:col>
                    <xdr:colOff>0</xdr:colOff>
                    <xdr:row>109</xdr:row>
                    <xdr:rowOff>247650</xdr:rowOff>
                  </to>
                </anchor>
              </controlPr>
            </control>
          </mc:Choice>
        </mc:AlternateContent>
        <mc:AlternateContent xmlns:mc="http://schemas.openxmlformats.org/markup-compatibility/2006">
          <mc:Choice Requires="x14">
            <control shapeId="7371" r:id="rId117" name="Check Box 203">
              <controlPr defaultSize="0" autoFill="0" autoLine="0" autoPict="0">
                <anchor moveWithCells="1">
                  <from>
                    <xdr:col>5</xdr:col>
                    <xdr:colOff>47625</xdr:colOff>
                    <xdr:row>132</xdr:row>
                    <xdr:rowOff>0</xdr:rowOff>
                  </from>
                  <to>
                    <xdr:col>6</xdr:col>
                    <xdr:colOff>9525</xdr:colOff>
                    <xdr:row>132</xdr:row>
                    <xdr:rowOff>238125</xdr:rowOff>
                  </to>
                </anchor>
              </controlPr>
            </control>
          </mc:Choice>
        </mc:AlternateContent>
        <mc:AlternateContent xmlns:mc="http://schemas.openxmlformats.org/markup-compatibility/2006">
          <mc:Choice Requires="x14">
            <control shapeId="7375" r:id="rId118" name="Check Box 207">
              <controlPr defaultSize="0" autoFill="0" autoLine="0" autoPict="0">
                <anchor moveWithCells="1">
                  <from>
                    <xdr:col>5</xdr:col>
                    <xdr:colOff>57150</xdr:colOff>
                    <xdr:row>137</xdr:row>
                    <xdr:rowOff>28575</xdr:rowOff>
                  </from>
                  <to>
                    <xdr:col>6</xdr:col>
                    <xdr:colOff>19050</xdr:colOff>
                    <xdr:row>137</xdr:row>
                    <xdr:rowOff>266700</xdr:rowOff>
                  </to>
                </anchor>
              </controlPr>
            </control>
          </mc:Choice>
        </mc:AlternateContent>
        <mc:AlternateContent xmlns:mc="http://schemas.openxmlformats.org/markup-compatibility/2006">
          <mc:Choice Requires="x14">
            <control shapeId="7384" r:id="rId119" name="Check Box 216">
              <controlPr defaultSize="0" autoFill="0" autoLine="0" autoPict="0">
                <anchor moveWithCells="1">
                  <from>
                    <xdr:col>5</xdr:col>
                    <xdr:colOff>38100</xdr:colOff>
                    <xdr:row>149</xdr:row>
                    <xdr:rowOff>76200</xdr:rowOff>
                  </from>
                  <to>
                    <xdr:col>6</xdr:col>
                    <xdr:colOff>0</xdr:colOff>
                    <xdr:row>149</xdr:row>
                    <xdr:rowOff>314325</xdr:rowOff>
                  </to>
                </anchor>
              </controlPr>
            </control>
          </mc:Choice>
        </mc:AlternateContent>
        <mc:AlternateContent xmlns:mc="http://schemas.openxmlformats.org/markup-compatibility/2006">
          <mc:Choice Requires="x14">
            <control shapeId="7385" r:id="rId120" name="Check Box 217">
              <controlPr defaultSize="0" autoFill="0" autoLine="0" autoPict="0">
                <anchor moveWithCells="1">
                  <from>
                    <xdr:col>5</xdr:col>
                    <xdr:colOff>38100</xdr:colOff>
                    <xdr:row>150</xdr:row>
                    <xdr:rowOff>76200</xdr:rowOff>
                  </from>
                  <to>
                    <xdr:col>6</xdr:col>
                    <xdr:colOff>0</xdr:colOff>
                    <xdr:row>150</xdr:row>
                    <xdr:rowOff>314325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FF8BE-11FF-4B4B-8446-0304F4683DA8}">
  <sheetPr codeName="Foglio6"/>
  <dimension ref="A1:Q30"/>
  <sheetViews>
    <sheetView showGridLines="0" zoomScaleNormal="100" workbookViewId="0">
      <selection activeCell="F1" sqref="F1"/>
    </sheetView>
  </sheetViews>
  <sheetFormatPr defaultColWidth="0" defaultRowHeight="15" zeroHeight="1" outlineLevelCol="1" x14ac:dyDescent="0.25"/>
  <cols>
    <col min="1" max="1" width="7.7109375" customWidth="1"/>
    <col min="2" max="2" width="7.7109375" style="16" customWidth="1"/>
    <col min="3" max="4" width="10.7109375" style="16" customWidth="1"/>
    <col min="5" max="5" width="110.7109375" style="16" customWidth="1"/>
    <col min="6" max="6" width="5.28515625" style="26" customWidth="1"/>
    <col min="7" max="7" width="18" style="16" customWidth="1"/>
    <col min="8" max="9" width="35.7109375" style="28" hidden="1" customWidth="1" outlineLevel="1"/>
    <col min="10" max="13" width="25.7109375" style="28" hidden="1" customWidth="1" outlineLevel="1"/>
    <col min="14" max="14" width="9.140625" customWidth="1" collapsed="1"/>
    <col min="15" max="16384" width="9.140625" hidden="1"/>
  </cols>
  <sheetData>
    <row r="1" spans="1:17" s="4" customFormat="1" ht="90" customHeight="1" thickBot="1" x14ac:dyDescent="0.3">
      <c r="B1" s="5"/>
      <c r="C1" s="6"/>
      <c r="F1" s="25"/>
      <c r="G1" s="12"/>
      <c r="H1" s="27"/>
      <c r="I1" s="27"/>
      <c r="J1" s="27"/>
      <c r="K1" s="27"/>
      <c r="L1" s="27"/>
      <c r="M1" s="27"/>
    </row>
    <row r="2" spans="1:17" ht="71.25" customHeight="1" thickTop="1" x14ac:dyDescent="0.25"/>
    <row r="5" spans="1:17" s="9" customFormat="1" ht="39.950000000000003" customHeight="1" x14ac:dyDescent="0.25">
      <c r="A5" s="150">
        <v>5</v>
      </c>
      <c r="B5" s="148"/>
      <c r="C5" s="148"/>
      <c r="D5" s="148" t="s">
        <v>48</v>
      </c>
      <c r="E5" s="148"/>
      <c r="F5" s="148"/>
      <c r="G5" s="148"/>
      <c r="H5" s="159" t="s">
        <v>111</v>
      </c>
      <c r="I5" s="159" t="s">
        <v>112</v>
      </c>
      <c r="J5" s="159" t="s">
        <v>121</v>
      </c>
      <c r="K5" s="159" t="s">
        <v>113</v>
      </c>
      <c r="L5" s="159" t="s">
        <v>174</v>
      </c>
      <c r="M5" s="159" t="s">
        <v>106</v>
      </c>
    </row>
    <row r="6" spans="1:17" ht="35.1" customHeight="1" thickBot="1" x14ac:dyDescent="0.3">
      <c r="A6" s="88"/>
      <c r="B6" s="64" t="s">
        <v>49</v>
      </c>
      <c r="C6" s="88"/>
      <c r="D6" s="112"/>
      <c r="E6" s="113" t="s">
        <v>270</v>
      </c>
      <c r="F6" s="114" t="b">
        <v>0</v>
      </c>
      <c r="G6" s="122"/>
      <c r="H6" s="110" t="s">
        <v>391</v>
      </c>
      <c r="I6" s="110" t="s">
        <v>392</v>
      </c>
      <c r="J6" s="110" t="s">
        <v>443</v>
      </c>
      <c r="K6" s="110" t="s">
        <v>444</v>
      </c>
      <c r="L6" s="110" t="str">
        <f ca="1">+OFFSET(F6,0,IF(F6,2,3))</f>
        <v>L’impresa non è in grado in futuro di generare risorse al servizio del debito.</v>
      </c>
      <c r="M6" s="110" t="str">
        <f ca="1">+OFFSET(F6,0,IF(F6,4,5))</f>
        <v>Indicare cosa si intende fare per sostenere il piano in altro modo</v>
      </c>
    </row>
    <row r="7" spans="1:17" ht="35.1" customHeight="1" thickTop="1" thickBot="1" x14ac:dyDescent="0.3">
      <c r="A7" s="88"/>
      <c r="B7" s="64"/>
      <c r="C7" s="88"/>
      <c r="D7" s="112"/>
      <c r="E7" s="113" t="s">
        <v>271</v>
      </c>
      <c r="F7" s="114" t="b">
        <v>0</v>
      </c>
      <c r="G7" s="122"/>
      <c r="H7" s="110" t="s">
        <v>393</v>
      </c>
      <c r="I7" s="110" t="s">
        <v>394</v>
      </c>
      <c r="J7" s="110" t="s">
        <v>123</v>
      </c>
      <c r="K7" s="110" t="s">
        <v>123</v>
      </c>
      <c r="L7" s="110" t="str">
        <f ca="1">+OFFSET(F7,0,IF(F7,2,3))</f>
        <v>Il risultato delle proiezioni finanziarie tende ad essere negativo.</v>
      </c>
      <c r="M7" s="110" t="str">
        <f ca="1">+OFFSET(F7,0,IF(F7,4,5))</f>
        <v>Aggiungere eventuali commenti</v>
      </c>
    </row>
    <row r="8" spans="1:17" ht="35.1" customHeight="1" thickTop="1" thickBot="1" x14ac:dyDescent="0.3">
      <c r="A8" s="88"/>
      <c r="B8" s="64" t="s">
        <v>50</v>
      </c>
      <c r="C8" s="88"/>
      <c r="D8" s="112"/>
      <c r="E8" s="113" t="s">
        <v>273</v>
      </c>
      <c r="F8" s="114" t="b">
        <v>0</v>
      </c>
      <c r="G8" s="122"/>
      <c r="H8" s="110" t="s">
        <v>395</v>
      </c>
      <c r="I8" s="110" t="s">
        <v>396</v>
      </c>
      <c r="J8" s="110" t="s">
        <v>445</v>
      </c>
      <c r="K8" s="110" t="s">
        <v>446</v>
      </c>
      <c r="L8" s="110" t="str">
        <f ca="1">+OFFSET(F8,0,IF(F8,2,3))</f>
        <v>Il piano non tiene conto, anche attraverso prove di resistenza (stress test), dei fattori di rischio e di incertezza ai quali è maggiormente esposta l’impresa.</v>
      </c>
      <c r="M8" s="110" t="str">
        <f ca="1">+OFFSET(F8,0,IF(F8,4,5))</f>
        <v>Indicare le ragioni che hanno condotto i relatori a non sottoporre il piano allo stress test</v>
      </c>
    </row>
    <row r="9" spans="1:17" ht="35.1" customHeight="1" thickTop="1" thickBot="1" x14ac:dyDescent="0.3">
      <c r="A9" s="88"/>
      <c r="B9" s="64"/>
      <c r="C9" s="88"/>
      <c r="D9" s="112"/>
      <c r="E9" s="113" t="s">
        <v>272</v>
      </c>
      <c r="F9" s="114" t="b">
        <v>0</v>
      </c>
      <c r="G9" s="122"/>
      <c r="H9" s="110" t="s">
        <v>447</v>
      </c>
      <c r="I9" s="110" t="s">
        <v>447</v>
      </c>
      <c r="J9" s="110" t="s">
        <v>123</v>
      </c>
      <c r="K9" s="110" t="s">
        <v>123</v>
      </c>
      <c r="L9" s="110" t="str">
        <f ca="1">+OFFSET(F9,0,IF(F9,2,3))</f>
        <v>I test effettuati sono coerenti con i rischi emersi ad esito dell’intervista delle diverse funzioni aziendali avendo comunque riguardo alle prospettive di mercato.</v>
      </c>
      <c r="M9" s="110" t="str">
        <f ca="1">+OFFSET(F9,0,IF(F9,4,5))</f>
        <v>Aggiungere eventuali commenti</v>
      </c>
    </row>
    <row r="10" spans="1:17" ht="35.1" customHeight="1" thickTop="1" x14ac:dyDescent="0.25">
      <c r="A10" s="88"/>
      <c r="B10" s="64" t="s">
        <v>51</v>
      </c>
      <c r="C10" s="88"/>
      <c r="D10" s="112"/>
      <c r="E10" s="113" t="s">
        <v>274</v>
      </c>
      <c r="F10" s="115" t="b">
        <v>0</v>
      </c>
      <c r="G10" s="123"/>
      <c r="H10" s="110" t="s">
        <v>397</v>
      </c>
      <c r="I10" s="110" t="s">
        <v>398</v>
      </c>
      <c r="J10" s="110" t="s">
        <v>123</v>
      </c>
      <c r="K10" s="110" t="s">
        <v>123</v>
      </c>
      <c r="L10" s="110" t="str">
        <f ca="1">+OFFSET(F10,0,IF(F10,2,3))</f>
        <v>La generazione di flussi positivi al servizio del debito non dipende solo dalle iniziative industriali.</v>
      </c>
      <c r="M10" s="110" t="str">
        <f ca="1">+OFFSET(F10,0,IF(F10,4,5))</f>
        <v>Aggiungere eventuali commenti</v>
      </c>
    </row>
    <row r="11" spans="1:17" ht="35.1" customHeight="1" x14ac:dyDescent="0.25">
      <c r="A11" s="88"/>
      <c r="B11" s="64" t="s">
        <v>52</v>
      </c>
      <c r="C11" s="88"/>
      <c r="D11" s="112"/>
      <c r="E11" s="113" t="s">
        <v>184</v>
      </c>
      <c r="F11" s="115" t="b">
        <v>0</v>
      </c>
      <c r="G11" s="123"/>
      <c r="H11" s="110"/>
      <c r="I11" s="177" t="str">
        <f>+IF(F11,"Il debito che deve essere servito nei singoli anni del piano ammonta a"&amp;s&amp;E12&amp;pu,"")</f>
        <v/>
      </c>
      <c r="J11" s="177"/>
      <c r="K11" s="177"/>
      <c r="L11" s="105"/>
      <c r="M11" s="105"/>
    </row>
    <row r="12" spans="1:17" ht="35.1" customHeight="1" thickBot="1" x14ac:dyDescent="0.3">
      <c r="A12" s="88"/>
      <c r="B12" s="88"/>
      <c r="C12" s="172" t="s">
        <v>221</v>
      </c>
      <c r="D12" s="172"/>
      <c r="E12" s="160" t="s">
        <v>184</v>
      </c>
      <c r="F12" s="116" t="b">
        <v>0</v>
      </c>
      <c r="G12" s="109"/>
      <c r="H12" s="110"/>
      <c r="I12" s="110"/>
      <c r="J12" s="110"/>
      <c r="K12" s="110"/>
      <c r="L12" s="110"/>
      <c r="M12" s="110"/>
    </row>
    <row r="13" spans="1:17" ht="35.1" customHeight="1" thickTop="1" x14ac:dyDescent="0.25">
      <c r="A13" s="88"/>
      <c r="B13" s="64" t="s">
        <v>53</v>
      </c>
      <c r="C13" s="88"/>
      <c r="D13" s="112"/>
      <c r="E13" s="113" t="s">
        <v>70</v>
      </c>
      <c r="F13" s="115" t="b">
        <v>0</v>
      </c>
      <c r="G13" s="123"/>
      <c r="H13" s="103"/>
      <c r="I13" s="177" t="str">
        <f>+IF(F13,"L’imprenditore intende fronteggiare il debito che deve essere coperto nei diversi anni attraverso i flussi al servizio dello stesso"&amp;s&amp;E14&amp;pu,"")</f>
        <v/>
      </c>
      <c r="J13" s="177"/>
      <c r="K13" s="177"/>
      <c r="L13" s="104"/>
      <c r="M13" s="104"/>
    </row>
    <row r="14" spans="1:17" ht="35.1" customHeight="1" thickBot="1" x14ac:dyDescent="0.3">
      <c r="A14" s="88"/>
      <c r="B14" s="88"/>
      <c r="C14" s="172" t="s">
        <v>221</v>
      </c>
      <c r="D14" s="172"/>
      <c r="E14" s="160" t="s">
        <v>275</v>
      </c>
      <c r="F14" s="116" t="b">
        <v>0</v>
      </c>
      <c r="G14" s="109"/>
      <c r="H14" s="103"/>
      <c r="I14" s="120"/>
      <c r="J14" s="120"/>
      <c r="K14" s="120"/>
      <c r="L14" s="120"/>
      <c r="M14" s="120"/>
    </row>
    <row r="15" spans="1:17" ht="35.1" customHeight="1" thickTop="1" x14ac:dyDescent="0.25">
      <c r="A15" s="88"/>
      <c r="B15" s="117"/>
      <c r="C15" s="117"/>
      <c r="D15" s="117"/>
      <c r="E15" s="117"/>
      <c r="F15" s="118"/>
      <c r="G15" s="124"/>
      <c r="H15" s="121" t="s">
        <v>111</v>
      </c>
      <c r="I15" s="121" t="s">
        <v>112</v>
      </c>
      <c r="J15" s="121" t="s">
        <v>121</v>
      </c>
      <c r="K15" s="121" t="s">
        <v>113</v>
      </c>
      <c r="L15" s="121" t="s">
        <v>174</v>
      </c>
      <c r="M15" s="121" t="s">
        <v>106</v>
      </c>
    </row>
    <row r="16" spans="1:17" ht="35.1" customHeight="1" thickBot="1" x14ac:dyDescent="0.3">
      <c r="A16" s="88"/>
      <c r="B16" s="64" t="s">
        <v>54</v>
      </c>
      <c r="C16" s="88"/>
      <c r="D16" s="112"/>
      <c r="E16" s="113" t="s">
        <v>276</v>
      </c>
      <c r="F16" s="114" t="b">
        <v>0</v>
      </c>
      <c r="G16" s="122"/>
      <c r="H16" s="110" t="s">
        <v>399</v>
      </c>
      <c r="I16" s="110" t="s">
        <v>400</v>
      </c>
      <c r="J16" s="110" t="s">
        <v>123</v>
      </c>
      <c r="K16" s="110" t="s">
        <v>123</v>
      </c>
      <c r="L16" s="110" t="str">
        <f ca="1">+OFFSET(F16,0,IF(F16,2,3))</f>
        <v>Le proposte non consentono, in via prognostica, il rispetto del minimo legale del capitale sociale al momento della conclusione dell’accordo, fatte salve le disposizioni speciali.</v>
      </c>
      <c r="M16" s="110" t="str">
        <f ca="1">+OFFSET(F16,0,IF(F16,4,5))</f>
        <v>Aggiungere eventuali commenti</v>
      </c>
      <c r="N16" s="3"/>
      <c r="O16" s="3"/>
      <c r="P16" s="3"/>
      <c r="Q16" s="3"/>
    </row>
    <row r="17" spans="1:13" ht="35.1" customHeight="1" thickTop="1" x14ac:dyDescent="0.25">
      <c r="A17" s="88"/>
      <c r="B17" s="88"/>
      <c r="C17" s="64"/>
      <c r="D17" s="112"/>
      <c r="E17" s="113"/>
      <c r="F17" s="90"/>
      <c r="G17" s="104"/>
      <c r="H17" s="103"/>
      <c r="I17" s="103"/>
      <c r="J17" s="103"/>
      <c r="K17" s="103"/>
      <c r="L17" s="103"/>
      <c r="M17" s="103"/>
    </row>
    <row r="18" spans="1:13" s="9" customFormat="1" ht="39.950000000000003" customHeight="1" x14ac:dyDescent="0.25">
      <c r="A18" s="150">
        <v>6</v>
      </c>
      <c r="B18" s="148"/>
      <c r="C18" s="148"/>
      <c r="D18" s="148" t="s">
        <v>406</v>
      </c>
      <c r="E18" s="148"/>
      <c r="F18" s="156"/>
      <c r="G18" s="148"/>
      <c r="H18" s="159" t="s">
        <v>111</v>
      </c>
      <c r="I18" s="159" t="s">
        <v>112</v>
      </c>
      <c r="J18" s="159" t="s">
        <v>121</v>
      </c>
      <c r="K18" s="159" t="s">
        <v>113</v>
      </c>
      <c r="L18" s="159" t="s">
        <v>174</v>
      </c>
      <c r="M18" s="159" t="s">
        <v>106</v>
      </c>
    </row>
    <row r="19" spans="1:13" ht="35.1" customHeight="1" thickBot="1" x14ac:dyDescent="0.3">
      <c r="A19" s="88"/>
      <c r="B19" s="64" t="s">
        <v>55</v>
      </c>
      <c r="C19" s="88"/>
      <c r="D19" s="112"/>
      <c r="E19" s="113" t="s">
        <v>64</v>
      </c>
      <c r="F19" s="114" t="b">
        <v>0</v>
      </c>
      <c r="G19" s="122"/>
      <c r="H19" s="110" t="s">
        <v>401</v>
      </c>
      <c r="I19" s="110" t="s">
        <v>401</v>
      </c>
      <c r="J19" s="110" t="s">
        <v>123</v>
      </c>
      <c r="K19" s="110" t="s">
        <v>123</v>
      </c>
      <c r="L19" s="110" t="str">
        <f ca="1">+OFFSET(F19,0,IF(F19,2,3))</f>
        <v>Il piano è redatto per le singole imprese.</v>
      </c>
      <c r="M19" s="110" t="str">
        <f ca="1">+OFFSET(F19,0,IF(F19,4,5))</f>
        <v>Aggiungere eventuali commenti</v>
      </c>
    </row>
    <row r="20" spans="1:13" ht="35.1" customHeight="1" thickTop="1" thickBot="1" x14ac:dyDescent="0.3">
      <c r="A20" s="88"/>
      <c r="B20" s="64" t="s">
        <v>56</v>
      </c>
      <c r="C20" s="88"/>
      <c r="D20" s="112"/>
      <c r="E20" s="113" t="s">
        <v>65</v>
      </c>
      <c r="F20" s="114" t="b">
        <v>0</v>
      </c>
      <c r="G20" s="122"/>
      <c r="H20" s="110" t="s">
        <v>403</v>
      </c>
      <c r="I20" s="110" t="s">
        <v>402</v>
      </c>
      <c r="J20" s="110" t="s">
        <v>123</v>
      </c>
      <c r="K20" s="110" t="s">
        <v>123</v>
      </c>
      <c r="L20" s="110" t="str">
        <f ca="1">+OFFSET(F20,0,IF(F20,2,3))</f>
        <v>Il piano non dà evidenza dei rapporti economici, finanziari e patrimoniali infragruppo.</v>
      </c>
      <c r="M20" s="110" t="str">
        <f ca="1">+OFFSET(F20,0,IF(F20,4,5))</f>
        <v>Aggiungere eventuali commenti</v>
      </c>
    </row>
    <row r="21" spans="1:13" ht="35.1" customHeight="1" thickTop="1" thickBot="1" x14ac:dyDescent="0.3">
      <c r="A21" s="88"/>
      <c r="B21" s="64" t="s">
        <v>57</v>
      </c>
      <c r="C21" s="88"/>
      <c r="D21" s="112"/>
      <c r="E21" s="113" t="s">
        <v>277</v>
      </c>
      <c r="F21" s="114" t="b">
        <v>0</v>
      </c>
      <c r="G21" s="122"/>
      <c r="H21" s="110" t="s">
        <v>278</v>
      </c>
      <c r="I21" s="110" t="s">
        <v>279</v>
      </c>
      <c r="J21" s="110" t="s">
        <v>123</v>
      </c>
      <c r="K21" s="110" t="s">
        <v>123</v>
      </c>
      <c r="L21" s="110" t="str">
        <f ca="1">+OFFSET(F21,0,IF(F21,2,3))</f>
        <v>Non vi sono altre imprese del gruppo che presentano difficoltà economico-finanziarie o patrimoniali?</v>
      </c>
      <c r="M21" s="110" t="str">
        <f ca="1">+OFFSET(F21,0,IF(F21,4,5))</f>
        <v>Aggiungere eventuali commenti</v>
      </c>
    </row>
    <row r="22" spans="1:13" ht="35.1" hidden="1" customHeight="1" thickTop="1" x14ac:dyDescent="0.25">
      <c r="A22" s="88"/>
      <c r="B22" s="88"/>
      <c r="C22" s="64"/>
      <c r="D22" s="112"/>
      <c r="E22" s="113"/>
      <c r="F22" s="115" t="b">
        <v>0</v>
      </c>
      <c r="G22" s="123"/>
      <c r="H22" s="110"/>
      <c r="I22" s="177" t="str">
        <f>+IF(F22,"L’imprenditore intende affrontarle"&amp;s&amp;E23&amp;pu,"")</f>
        <v/>
      </c>
      <c r="J22" s="177"/>
      <c r="K22" s="177"/>
      <c r="L22" s="105"/>
      <c r="M22" s="105"/>
    </row>
    <row r="23" spans="1:13" ht="35.1" customHeight="1" thickTop="1" thickBot="1" x14ac:dyDescent="0.3">
      <c r="A23" s="88"/>
      <c r="B23" s="88"/>
      <c r="C23" s="172" t="s">
        <v>280</v>
      </c>
      <c r="D23" s="172"/>
      <c r="E23" s="160" t="s">
        <v>281</v>
      </c>
      <c r="F23" s="116" t="b">
        <v>0</v>
      </c>
      <c r="G23" s="109"/>
      <c r="H23" s="110"/>
      <c r="I23" s="110"/>
      <c r="J23" s="110"/>
      <c r="K23" s="110"/>
      <c r="L23" s="110"/>
      <c r="M23" s="110"/>
    </row>
    <row r="24" spans="1:13" ht="35.1" customHeight="1" thickTop="1" x14ac:dyDescent="0.25">
      <c r="A24" s="88"/>
      <c r="B24" s="64" t="s">
        <v>58</v>
      </c>
      <c r="C24" s="88"/>
      <c r="D24" s="112"/>
      <c r="E24" s="113" t="s">
        <v>430</v>
      </c>
      <c r="F24" s="115" t="b">
        <v>0</v>
      </c>
      <c r="G24" s="123"/>
      <c r="H24" s="110"/>
      <c r="I24" s="177" t="str">
        <f>+IF(F24,"Le altre imprese del gruppo la cui continuità aziendale dipende da quella dell’impresa sono"&amp;s&amp;E25&amp;pu,"")</f>
        <v/>
      </c>
      <c r="J24" s="177"/>
      <c r="K24" s="177"/>
      <c r="L24" s="105"/>
      <c r="M24" s="105"/>
    </row>
    <row r="25" spans="1:13" ht="35.1" customHeight="1" thickBot="1" x14ac:dyDescent="0.3">
      <c r="A25" s="88"/>
      <c r="B25" s="88"/>
      <c r="C25" s="172" t="s">
        <v>431</v>
      </c>
      <c r="D25" s="172"/>
      <c r="E25" s="160" t="s">
        <v>282</v>
      </c>
      <c r="F25" s="116" t="b">
        <v>0</v>
      </c>
      <c r="G25" s="109"/>
      <c r="H25" s="110"/>
      <c r="I25" s="110"/>
      <c r="J25" s="110"/>
      <c r="K25" s="110"/>
      <c r="L25" s="110"/>
      <c r="M25" s="110"/>
    </row>
    <row r="26" spans="1:13" ht="35.1" customHeight="1" thickTop="1" thickBot="1" x14ac:dyDescent="0.3">
      <c r="A26" s="88"/>
      <c r="B26" s="64" t="s">
        <v>59</v>
      </c>
      <c r="C26" s="88"/>
      <c r="D26" s="112"/>
      <c r="E26" s="113" t="s">
        <v>283</v>
      </c>
      <c r="F26" s="119" t="b">
        <v>0</v>
      </c>
      <c r="G26" s="125"/>
      <c r="H26" s="110" t="s">
        <v>404</v>
      </c>
      <c r="I26" s="110" t="s">
        <v>405</v>
      </c>
      <c r="J26" s="110" t="s">
        <v>123</v>
      </c>
      <c r="K26" s="110" t="s">
        <v>123</v>
      </c>
      <c r="L26" s="110" t="str">
        <f ca="1">+OFFSET(F26,0,IF(F26,2,3))</f>
        <v>Le operazioni infragruppo previste nel piano non possono arrecare un pregiudizio per i creditori di un’altra impresa del gruppo.</v>
      </c>
      <c r="M26" s="110" t="str">
        <f ca="1">+OFFSET(F26,0,IF(F26,4,5))</f>
        <v>Aggiungere eventuali commenti</v>
      </c>
    </row>
    <row r="27" spans="1:13" ht="35.1" customHeight="1" thickTop="1" x14ac:dyDescent="0.25">
      <c r="A27" s="88"/>
      <c r="B27" s="88"/>
      <c r="C27" s="172" t="s">
        <v>432</v>
      </c>
      <c r="D27" s="172"/>
      <c r="E27" s="160" t="s">
        <v>282</v>
      </c>
      <c r="F27" s="90"/>
      <c r="G27" s="104"/>
      <c r="H27" s="103"/>
      <c r="I27" s="103"/>
      <c r="J27" s="103"/>
      <c r="K27" s="103"/>
      <c r="L27" s="103"/>
      <c r="M27" s="103"/>
    </row>
    <row r="28" spans="1:13" ht="35.1" customHeight="1" x14ac:dyDescent="0.25">
      <c r="A28" s="88"/>
      <c r="B28" s="88"/>
      <c r="C28" s="88"/>
      <c r="D28" s="88"/>
      <c r="E28" s="88"/>
      <c r="F28" s="90"/>
      <c r="G28" s="104"/>
      <c r="H28" s="103"/>
      <c r="I28" s="103"/>
      <c r="J28" s="103"/>
      <c r="K28" s="103"/>
      <c r="L28" s="103"/>
      <c r="M28" s="103"/>
    </row>
    <row r="29" spans="1:13" ht="35.1" customHeight="1" x14ac:dyDescent="0.25"/>
    <row r="30" spans="1:13" ht="35.1" customHeight="1" x14ac:dyDescent="0.25"/>
  </sheetData>
  <sheetProtection algorithmName="SHA-512" hashValue="4ZZeue8XOy/vPTxDDSDGs64OaaWrAinJeL7MrS0P7UuCVobf8stl/7b/FH5jJ5Gly8LocfVrFSxeXMYp+8rlog==" saltValue="lQH06LqLFmLTp6WHrALqkw==" spinCount="100000" sheet="1" objects="1" scenarios="1" selectLockedCells="1"/>
  <mergeCells count="9">
    <mergeCell ref="C27:D27"/>
    <mergeCell ref="C25:D25"/>
    <mergeCell ref="I24:K24"/>
    <mergeCell ref="I11:K11"/>
    <mergeCell ref="I13:K13"/>
    <mergeCell ref="I22:K22"/>
    <mergeCell ref="C12:D12"/>
    <mergeCell ref="C14:D14"/>
    <mergeCell ref="C23:D23"/>
  </mergeCells>
  <conditionalFormatting sqref="E12">
    <cfRule type="cellIs" dxfId="86" priority="7" stopIfTrue="1" operator="lessThan">
      <formula>#REF!</formula>
    </cfRule>
  </conditionalFormatting>
  <conditionalFormatting sqref="E14">
    <cfRule type="cellIs" dxfId="85" priority="6" stopIfTrue="1" operator="lessThan">
      <formula>#REF!</formula>
    </cfRule>
  </conditionalFormatting>
  <conditionalFormatting sqref="E23">
    <cfRule type="cellIs" dxfId="84" priority="5" stopIfTrue="1" operator="lessThan">
      <formula>#REF!</formula>
    </cfRule>
  </conditionalFormatting>
  <conditionalFormatting sqref="E25">
    <cfRule type="cellIs" dxfId="83" priority="4" stopIfTrue="1" operator="lessThan">
      <formula>#REF!</formula>
    </cfRule>
  </conditionalFormatting>
  <conditionalFormatting sqref="E27">
    <cfRule type="cellIs" dxfId="82" priority="3" stopIfTrue="1" operator="lessThan">
      <formula>#REF!</formula>
    </cfRule>
  </conditionalFormatting>
  <conditionalFormatting sqref="F1:G1">
    <cfRule type="cellIs" dxfId="81" priority="13" operator="equal">
      <formula>TRUE</formula>
    </cfRule>
  </conditionalFormatting>
  <conditionalFormatting sqref="F6:G9">
    <cfRule type="cellIs" dxfId="80" priority="1" operator="equal">
      <formula>TRUE</formula>
    </cfRule>
    <cfRule type="iconSet" priority="35">
      <iconSet iconSet="3Symbols2">
        <cfvo type="percent" val="0"/>
        <cfvo type="percent" val="33"/>
        <cfvo type="formula" val="#REF!"/>
      </iconSet>
    </cfRule>
  </conditionalFormatting>
  <conditionalFormatting sqref="F12:G12">
    <cfRule type="cellIs" dxfId="79" priority="32" operator="equal">
      <formula>TRUE</formula>
    </cfRule>
    <cfRule type="iconSet" priority="33">
      <iconSet iconSet="3Symbols2">
        <cfvo type="percent" val="0"/>
        <cfvo type="percent" val="33"/>
        <cfvo type="formula" val="#REF!"/>
      </iconSet>
    </cfRule>
  </conditionalFormatting>
  <conditionalFormatting sqref="F14:G14">
    <cfRule type="cellIs" dxfId="78" priority="30" operator="equal">
      <formula>TRUE</formula>
    </cfRule>
    <cfRule type="iconSet" priority="31">
      <iconSet iconSet="3Symbols2">
        <cfvo type="percent" val="0"/>
        <cfvo type="percent" val="33"/>
        <cfvo type="formula" val="#REF!"/>
      </iconSet>
    </cfRule>
  </conditionalFormatting>
  <conditionalFormatting sqref="F16:G16">
    <cfRule type="cellIs" dxfId="77" priority="28" operator="equal">
      <formula>TRUE</formula>
    </cfRule>
    <cfRule type="iconSet" priority="29">
      <iconSet iconSet="3Symbols2">
        <cfvo type="percent" val="0"/>
        <cfvo type="percent" val="33"/>
        <cfvo type="formula" val="#REF!"/>
      </iconSet>
    </cfRule>
  </conditionalFormatting>
  <conditionalFormatting sqref="F19:G21">
    <cfRule type="cellIs" dxfId="76" priority="8" operator="equal">
      <formula>TRUE</formula>
    </cfRule>
    <cfRule type="iconSet" priority="27">
      <iconSet iconSet="3Symbols2">
        <cfvo type="percent" val="0"/>
        <cfvo type="percent" val="33"/>
        <cfvo type="formula" val="#REF!"/>
      </iconSet>
    </cfRule>
  </conditionalFormatting>
  <conditionalFormatting sqref="F23:G23">
    <cfRule type="cellIs" dxfId="75" priority="24" operator="equal">
      <formula>TRUE</formula>
    </cfRule>
    <cfRule type="iconSet" priority="25">
      <iconSet iconSet="3Symbols2">
        <cfvo type="percent" val="0"/>
        <cfvo type="percent" val="33"/>
        <cfvo type="formula" val="#REF!"/>
      </iconSet>
    </cfRule>
  </conditionalFormatting>
  <conditionalFormatting sqref="F25:G25">
    <cfRule type="cellIs" dxfId="74" priority="22" operator="equal">
      <formula>TRUE</formula>
    </cfRule>
    <cfRule type="iconSet" priority="23">
      <iconSet iconSet="3Symbols2">
        <cfvo type="percent" val="0"/>
        <cfvo type="percent" val="33"/>
        <cfvo type="formula" val="#REF!"/>
      </iconSet>
    </cfRule>
  </conditionalFormatting>
  <conditionalFormatting sqref="F26:G26">
    <cfRule type="cellIs" dxfId="73" priority="18" operator="equal">
      <formula>TRUE</formula>
    </cfRule>
    <cfRule type="iconSet" priority="19">
      <iconSet iconSet="3Symbols2">
        <cfvo type="percent" val="0"/>
        <cfvo type="percent" val="33"/>
        <cfvo type="formula" val="#REF!"/>
      </iconSet>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41" r:id="rId3" name="Check Box 1">
              <controlPr defaultSize="0" autoFill="0" autoLine="0" autoPict="0">
                <anchor moveWithCells="1">
                  <from>
                    <xdr:col>5</xdr:col>
                    <xdr:colOff>57150</xdr:colOff>
                    <xdr:row>5</xdr:row>
                    <xdr:rowOff>28575</xdr:rowOff>
                  </from>
                  <to>
                    <xdr:col>5</xdr:col>
                    <xdr:colOff>304800</xdr:colOff>
                    <xdr:row>5</xdr:row>
                    <xdr:rowOff>266700</xdr:rowOff>
                  </to>
                </anchor>
              </controlPr>
            </control>
          </mc:Choice>
        </mc:AlternateContent>
        <mc:AlternateContent xmlns:mc="http://schemas.openxmlformats.org/markup-compatibility/2006">
          <mc:Choice Requires="x14">
            <control shapeId="10242" r:id="rId4" name="Check Box 2">
              <controlPr defaultSize="0" autoFill="0" autoLine="0" autoPict="0">
                <anchor moveWithCells="1">
                  <from>
                    <xdr:col>5</xdr:col>
                    <xdr:colOff>57150</xdr:colOff>
                    <xdr:row>7</xdr:row>
                    <xdr:rowOff>28575</xdr:rowOff>
                  </from>
                  <to>
                    <xdr:col>5</xdr:col>
                    <xdr:colOff>304800</xdr:colOff>
                    <xdr:row>7</xdr:row>
                    <xdr:rowOff>266700</xdr:rowOff>
                  </to>
                </anchor>
              </controlPr>
            </control>
          </mc:Choice>
        </mc:AlternateContent>
        <mc:AlternateContent xmlns:mc="http://schemas.openxmlformats.org/markup-compatibility/2006">
          <mc:Choice Requires="x14">
            <control shapeId="10249" r:id="rId5" name="Check Box 9">
              <controlPr defaultSize="0" autoFill="0" autoLine="0" autoPict="0">
                <anchor moveWithCells="1">
                  <from>
                    <xdr:col>5</xdr:col>
                    <xdr:colOff>57150</xdr:colOff>
                    <xdr:row>9</xdr:row>
                    <xdr:rowOff>28575</xdr:rowOff>
                  </from>
                  <to>
                    <xdr:col>5</xdr:col>
                    <xdr:colOff>304800</xdr:colOff>
                    <xdr:row>9</xdr:row>
                    <xdr:rowOff>266700</xdr:rowOff>
                  </to>
                </anchor>
              </controlPr>
            </control>
          </mc:Choice>
        </mc:AlternateContent>
        <mc:AlternateContent xmlns:mc="http://schemas.openxmlformats.org/markup-compatibility/2006">
          <mc:Choice Requires="x14">
            <control shapeId="10250" r:id="rId6" name="Check Box 10">
              <controlPr defaultSize="0" autoFill="0" autoLine="0" autoPict="0">
                <anchor moveWithCells="1">
                  <from>
                    <xdr:col>5</xdr:col>
                    <xdr:colOff>57150</xdr:colOff>
                    <xdr:row>6</xdr:row>
                    <xdr:rowOff>28575</xdr:rowOff>
                  </from>
                  <to>
                    <xdr:col>5</xdr:col>
                    <xdr:colOff>304800</xdr:colOff>
                    <xdr:row>6</xdr:row>
                    <xdr:rowOff>266700</xdr:rowOff>
                  </to>
                </anchor>
              </controlPr>
            </control>
          </mc:Choice>
        </mc:AlternateContent>
        <mc:AlternateContent xmlns:mc="http://schemas.openxmlformats.org/markup-compatibility/2006">
          <mc:Choice Requires="x14">
            <control shapeId="10251" r:id="rId7" name="Check Box 11">
              <controlPr defaultSize="0" autoFill="0" autoLine="0" autoPict="0">
                <anchor moveWithCells="1">
                  <from>
                    <xdr:col>5</xdr:col>
                    <xdr:colOff>57150</xdr:colOff>
                    <xdr:row>7</xdr:row>
                    <xdr:rowOff>28575</xdr:rowOff>
                  </from>
                  <to>
                    <xdr:col>5</xdr:col>
                    <xdr:colOff>304800</xdr:colOff>
                    <xdr:row>7</xdr:row>
                    <xdr:rowOff>266700</xdr:rowOff>
                  </to>
                </anchor>
              </controlPr>
            </control>
          </mc:Choice>
        </mc:AlternateContent>
        <mc:AlternateContent xmlns:mc="http://schemas.openxmlformats.org/markup-compatibility/2006">
          <mc:Choice Requires="x14">
            <control shapeId="10252" r:id="rId8" name="Check Box 12">
              <controlPr defaultSize="0" autoFill="0" autoLine="0" autoPict="0">
                <anchor moveWithCells="1">
                  <from>
                    <xdr:col>5</xdr:col>
                    <xdr:colOff>57150</xdr:colOff>
                    <xdr:row>9</xdr:row>
                    <xdr:rowOff>28575</xdr:rowOff>
                  </from>
                  <to>
                    <xdr:col>5</xdr:col>
                    <xdr:colOff>304800</xdr:colOff>
                    <xdr:row>9</xdr:row>
                    <xdr:rowOff>266700</xdr:rowOff>
                  </to>
                </anchor>
              </controlPr>
            </control>
          </mc:Choice>
        </mc:AlternateContent>
        <mc:AlternateContent xmlns:mc="http://schemas.openxmlformats.org/markup-compatibility/2006">
          <mc:Choice Requires="x14">
            <control shapeId="10253" r:id="rId9" name="Check Box 13">
              <controlPr defaultSize="0" autoFill="0" autoLine="0" autoPict="0">
                <anchor moveWithCells="1">
                  <from>
                    <xdr:col>5</xdr:col>
                    <xdr:colOff>57150</xdr:colOff>
                    <xdr:row>8</xdr:row>
                    <xdr:rowOff>28575</xdr:rowOff>
                  </from>
                  <to>
                    <xdr:col>5</xdr:col>
                    <xdr:colOff>304800</xdr:colOff>
                    <xdr:row>8</xdr:row>
                    <xdr:rowOff>266700</xdr:rowOff>
                  </to>
                </anchor>
              </controlPr>
            </control>
          </mc:Choice>
        </mc:AlternateContent>
        <mc:AlternateContent xmlns:mc="http://schemas.openxmlformats.org/markup-compatibility/2006">
          <mc:Choice Requires="x14">
            <control shapeId="10254" r:id="rId10" name="Check Box 14">
              <controlPr defaultSize="0" autoFill="0" autoLine="0" autoPict="0">
                <anchor moveWithCells="1">
                  <from>
                    <xdr:col>5</xdr:col>
                    <xdr:colOff>57150</xdr:colOff>
                    <xdr:row>10</xdr:row>
                    <xdr:rowOff>85725</xdr:rowOff>
                  </from>
                  <to>
                    <xdr:col>5</xdr:col>
                    <xdr:colOff>276225</xdr:colOff>
                    <xdr:row>10</xdr:row>
                    <xdr:rowOff>285750</xdr:rowOff>
                  </to>
                </anchor>
              </controlPr>
            </control>
          </mc:Choice>
        </mc:AlternateContent>
        <mc:AlternateContent xmlns:mc="http://schemas.openxmlformats.org/markup-compatibility/2006">
          <mc:Choice Requires="x14">
            <control shapeId="10255" r:id="rId11" name="Check Box 15">
              <controlPr defaultSize="0" autoFill="0" autoLine="0" autoPict="0">
                <anchor moveWithCells="1">
                  <from>
                    <xdr:col>5</xdr:col>
                    <xdr:colOff>57150</xdr:colOff>
                    <xdr:row>12</xdr:row>
                    <xdr:rowOff>85725</xdr:rowOff>
                  </from>
                  <to>
                    <xdr:col>5</xdr:col>
                    <xdr:colOff>276225</xdr:colOff>
                    <xdr:row>12</xdr:row>
                    <xdr:rowOff>285750</xdr:rowOff>
                  </to>
                </anchor>
              </controlPr>
            </control>
          </mc:Choice>
        </mc:AlternateContent>
        <mc:AlternateContent xmlns:mc="http://schemas.openxmlformats.org/markup-compatibility/2006">
          <mc:Choice Requires="x14">
            <control shapeId="10256" r:id="rId12" name="Check Box 16">
              <controlPr defaultSize="0" autoFill="0" autoLine="0" autoPict="0">
                <anchor moveWithCells="1">
                  <from>
                    <xdr:col>5</xdr:col>
                    <xdr:colOff>57150</xdr:colOff>
                    <xdr:row>15</xdr:row>
                    <xdr:rowOff>85725</xdr:rowOff>
                  </from>
                  <to>
                    <xdr:col>5</xdr:col>
                    <xdr:colOff>276225</xdr:colOff>
                    <xdr:row>15</xdr:row>
                    <xdr:rowOff>285750</xdr:rowOff>
                  </to>
                </anchor>
              </controlPr>
            </control>
          </mc:Choice>
        </mc:AlternateContent>
        <mc:AlternateContent xmlns:mc="http://schemas.openxmlformats.org/markup-compatibility/2006">
          <mc:Choice Requires="x14">
            <control shapeId="10257" r:id="rId13" name="Check Box 17">
              <controlPr defaultSize="0" autoFill="0" autoLine="0" autoPict="0">
                <anchor moveWithCells="1">
                  <from>
                    <xdr:col>5</xdr:col>
                    <xdr:colOff>57150</xdr:colOff>
                    <xdr:row>18</xdr:row>
                    <xdr:rowOff>85725</xdr:rowOff>
                  </from>
                  <to>
                    <xdr:col>5</xdr:col>
                    <xdr:colOff>276225</xdr:colOff>
                    <xdr:row>18</xdr:row>
                    <xdr:rowOff>285750</xdr:rowOff>
                  </to>
                </anchor>
              </controlPr>
            </control>
          </mc:Choice>
        </mc:AlternateContent>
        <mc:AlternateContent xmlns:mc="http://schemas.openxmlformats.org/markup-compatibility/2006">
          <mc:Choice Requires="x14">
            <control shapeId="10259" r:id="rId14" name="Check Box 19">
              <controlPr defaultSize="0" autoFill="0" autoLine="0" autoPict="0">
                <anchor moveWithCells="1">
                  <from>
                    <xdr:col>5</xdr:col>
                    <xdr:colOff>57150</xdr:colOff>
                    <xdr:row>20</xdr:row>
                    <xdr:rowOff>85725</xdr:rowOff>
                  </from>
                  <to>
                    <xdr:col>5</xdr:col>
                    <xdr:colOff>276225</xdr:colOff>
                    <xdr:row>20</xdr:row>
                    <xdr:rowOff>285750</xdr:rowOff>
                  </to>
                </anchor>
              </controlPr>
            </control>
          </mc:Choice>
        </mc:AlternateContent>
        <mc:AlternateContent xmlns:mc="http://schemas.openxmlformats.org/markup-compatibility/2006">
          <mc:Choice Requires="x14">
            <control shapeId="10260" r:id="rId15" name="Check Box 20">
              <controlPr defaultSize="0" autoFill="0" autoLine="0" autoPict="0">
                <anchor moveWithCells="1">
                  <from>
                    <xdr:col>5</xdr:col>
                    <xdr:colOff>57150</xdr:colOff>
                    <xdr:row>23</xdr:row>
                    <xdr:rowOff>85725</xdr:rowOff>
                  </from>
                  <to>
                    <xdr:col>5</xdr:col>
                    <xdr:colOff>276225</xdr:colOff>
                    <xdr:row>23</xdr:row>
                    <xdr:rowOff>285750</xdr:rowOff>
                  </to>
                </anchor>
              </controlPr>
            </control>
          </mc:Choice>
        </mc:AlternateContent>
        <mc:AlternateContent xmlns:mc="http://schemas.openxmlformats.org/markup-compatibility/2006">
          <mc:Choice Requires="x14">
            <control shapeId="10261" r:id="rId16" name="Check Box 21">
              <controlPr defaultSize="0" autoFill="0" autoLine="0" autoPict="0">
                <anchor moveWithCells="1">
                  <from>
                    <xdr:col>5</xdr:col>
                    <xdr:colOff>57150</xdr:colOff>
                    <xdr:row>25</xdr:row>
                    <xdr:rowOff>85725</xdr:rowOff>
                  </from>
                  <to>
                    <xdr:col>5</xdr:col>
                    <xdr:colOff>276225</xdr:colOff>
                    <xdr:row>25</xdr:row>
                    <xdr:rowOff>285750</xdr:rowOff>
                  </to>
                </anchor>
              </controlPr>
            </control>
          </mc:Choice>
        </mc:AlternateContent>
        <mc:AlternateContent xmlns:mc="http://schemas.openxmlformats.org/markup-compatibility/2006">
          <mc:Choice Requires="x14">
            <control shapeId="10262" r:id="rId17" name="Check Box 22">
              <controlPr defaultSize="0" autoFill="0" autoLine="0" autoPict="0">
                <anchor moveWithCells="1">
                  <from>
                    <xdr:col>5</xdr:col>
                    <xdr:colOff>57150</xdr:colOff>
                    <xdr:row>19</xdr:row>
                    <xdr:rowOff>85725</xdr:rowOff>
                  </from>
                  <to>
                    <xdr:col>5</xdr:col>
                    <xdr:colOff>276225</xdr:colOff>
                    <xdr:row>19</xdr:row>
                    <xdr:rowOff>285750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FA888-D87F-4DD3-ABD9-0F7C9F140364}">
  <sheetPr codeName="Foglio4"/>
  <dimension ref="A1:XFC215"/>
  <sheetViews>
    <sheetView showGridLines="0" showZeros="0" zoomScaleNormal="100" workbookViewId="0">
      <pane ySplit="3" topLeftCell="A4" activePane="bottomLeft" state="frozen"/>
      <selection pane="bottomLeft" activeCell="D7" sqref="D7"/>
    </sheetView>
  </sheetViews>
  <sheetFormatPr defaultColWidth="0" defaultRowHeight="46.5" customHeight="1" zeroHeight="1" x14ac:dyDescent="0.25"/>
  <cols>
    <col min="1" max="2" width="2.7109375" style="22" customWidth="1"/>
    <col min="3" max="3" width="30.7109375" style="133" customWidth="1"/>
    <col min="4" max="4" width="110.7109375" style="15" customWidth="1"/>
    <col min="5" max="5" width="5" style="22" customWidth="1"/>
    <col min="6" max="6" width="7.42578125" style="22" customWidth="1"/>
    <col min="7" max="7" width="11.5703125" style="22" hidden="1" customWidth="1"/>
    <col min="8" max="8" width="13" style="22" hidden="1" customWidth="1"/>
    <col min="9" max="9" width="21.140625" style="22" hidden="1" customWidth="1"/>
    <col min="10" max="10" width="64.28515625" style="11" hidden="1" customWidth="1"/>
    <col min="11" max="11" width="9.140625" style="22" hidden="1" customWidth="1"/>
    <col min="12" max="12" width="147" style="20" customWidth="1"/>
    <col min="13" max="13" width="10.42578125" style="20" customWidth="1"/>
    <col min="14" max="14" width="97.140625" style="22" hidden="1" customWidth="1"/>
    <col min="15" max="16382" width="0" style="22" hidden="1"/>
    <col min="16383" max="16383" width="0.140625" style="22" hidden="1" customWidth="1"/>
    <col min="16384" max="16384" width="4.28515625" style="22" hidden="1" customWidth="1"/>
  </cols>
  <sheetData>
    <row r="1" spans="1:14" s="4" customFormat="1" ht="90" customHeight="1" thickBot="1" x14ac:dyDescent="0.3">
      <c r="B1" s="5"/>
      <c r="C1" s="6"/>
      <c r="D1" s="15"/>
      <c r="F1" s="7"/>
      <c r="G1" s="12"/>
      <c r="H1" s="8"/>
      <c r="I1" s="8"/>
      <c r="J1" s="8"/>
      <c r="K1" s="8"/>
      <c r="L1" s="8"/>
      <c r="M1" s="8"/>
      <c r="N1" s="8"/>
    </row>
    <row r="2" spans="1:14" ht="46.5" customHeight="1" thickTop="1" x14ac:dyDescent="0.25">
      <c r="J2" s="22"/>
      <c r="L2" s="148" t="s">
        <v>289</v>
      </c>
      <c r="M2" s="34"/>
    </row>
    <row r="3" spans="1:14" ht="42" customHeight="1" x14ac:dyDescent="0.25">
      <c r="D3" s="14"/>
      <c r="H3" s="14"/>
      <c r="J3" s="22"/>
      <c r="L3" s="154" t="str">
        <f>+'SEZIONI 1-2'!$C$3</f>
        <v>ALFA S.R.L</v>
      </c>
      <c r="M3" s="32"/>
    </row>
    <row r="4" spans="1:14" ht="50.1" customHeight="1" x14ac:dyDescent="0.25">
      <c r="A4" s="151" t="s">
        <v>284</v>
      </c>
      <c r="B4" s="151"/>
      <c r="C4" s="151"/>
      <c r="D4" s="151"/>
      <c r="H4" s="18"/>
      <c r="I4" s="23"/>
      <c r="J4" s="19"/>
      <c r="L4" s="37">
        <f>+'SEZIONI 1-2'!C5</f>
        <v>45253</v>
      </c>
      <c r="M4" s="22"/>
    </row>
    <row r="5" spans="1:14" ht="50.1" customHeight="1" x14ac:dyDescent="0.25">
      <c r="B5" s="149" t="str">
        <f>+'SEZIONI 1-2'!$D$8</f>
        <v>Il requisito dell’organizzazione dell’impresa</v>
      </c>
      <c r="C5" s="149"/>
      <c r="D5" s="149"/>
      <c r="I5" s="21" t="str">
        <f>+B5</f>
        <v>Il requisito dell’organizzazione dell’impresa</v>
      </c>
      <c r="J5" s="21"/>
      <c r="L5" s="33" t="str">
        <f>+I5</f>
        <v>Il requisito dell’organizzazione dell’impresa</v>
      </c>
      <c r="M5" s="33"/>
    </row>
    <row r="6" spans="1:14" ht="50.1" customHeight="1" x14ac:dyDescent="0.25">
      <c r="A6" s="126"/>
      <c r="B6" s="126"/>
      <c r="C6" s="127"/>
      <c r="D6" s="113" t="str">
        <f ca="1">+'SEZIONI 1-2'!L9</f>
        <v>L’impresa non dispone delle risorse chiave (umane e tecniche) per la conduzione dell’attività.</v>
      </c>
      <c r="G6" s="11"/>
      <c r="I6" s="21"/>
      <c r="J6" s="20" t="str">
        <f ca="1">+CONCATENATE(D6,
IF(D7&gt;"",s&amp;D7,""))</f>
        <v>L’impresa non dispone delle risorse chiave (umane e tecniche) per la conduzione dell’attività.</v>
      </c>
      <c r="L6" s="179" t="str" cm="1">
        <f t="array" aca="1" ref="L6" ca="1">+CONCATENATE(J6,AC,J7,AC,J8,s,J9,s,J10,s,J11,AC,J12,AC,J13)</f>
        <v>L’impresa non dispone delle risorse chiave (umane e tecniche) per la conduzione dell’attività.
Da un punto di vista tecnico/economico, l’impresa  non dispone delle competenze necessarie per le iniziative industriali che l’imprenditore intende adottare.
Il monitoraggio dell'andamento aziendale appare inadeguato. I ricavi non sono controllati in maniera adeguata. Gli ordini non sono controllati in maniera adeguata. La posizione finanziaria netta non è costantemente monitorata.
L'impresa non fa ancora ricorso a KPI che consentono valutazioni rapide e continue, non è in grado di individuare gli indicatori di produttività coerenti con il proprio modello di business ed il proprio settore di attività, e di raccogliere ulteriori informazioni per la valutazione dell’andamento tendenziale.
L'impresa non dispone di un piano di tesoreria a 12 mesi. Non è in grado di predisporre un prospetto delle stime delle entrate e delle uscite finanziare almeno a 13 settimane, il cui scostamento con l’andamento corrente dovrà essere valutato a consuntivo.</v>
      </c>
      <c r="M6" s="15"/>
    </row>
    <row r="7" spans="1:14" ht="50.1" customHeight="1" x14ac:dyDescent="0.25">
      <c r="A7" s="126"/>
      <c r="B7" s="126"/>
      <c r="C7" s="127" t="str">
        <f ca="1">+'SEZIONI 1-2'!M9</f>
        <v>L’impresa come pensa di procurarsi tali risorse?</v>
      </c>
      <c r="D7" s="161"/>
      <c r="I7" s="21"/>
      <c r="J7" s="20" t="str">
        <f ca="1">CONCATENATE(D8,
IF(D9&gt;"",s&amp;D9,""))</f>
        <v>Da un punto di vista tecnico/economico, l’impresa  non dispone delle competenze necessarie per le iniziative industriali che l’imprenditore intende adottare.</v>
      </c>
      <c r="L7" s="179"/>
      <c r="M7" s="15"/>
    </row>
    <row r="8" spans="1:14" ht="50.1" customHeight="1" x14ac:dyDescent="0.25">
      <c r="A8" s="126"/>
      <c r="B8" s="126"/>
      <c r="C8" s="127"/>
      <c r="D8" s="113" t="str">
        <f ca="1">+'SEZIONI 1-2'!L10</f>
        <v>Da un punto di vista tecnico/economico, l’impresa  non dispone delle competenze necessarie per le iniziative industriali che l’imprenditore intende adottare.</v>
      </c>
      <c r="G8" s="22" t="str">
        <f>+CHAR(149)&amp; " "</f>
        <v xml:space="preserve">• </v>
      </c>
      <c r="J8" s="11" t="str">
        <f ca="1">+CONCATENATE(D10,
IF(D11&gt;"",s&amp;D11,""))</f>
        <v>Il monitoraggio dell'andamento aziendale appare inadeguato.</v>
      </c>
      <c r="L8" s="179"/>
      <c r="M8" s="15"/>
    </row>
    <row r="9" spans="1:14" ht="50.1" customHeight="1" x14ac:dyDescent="0.25">
      <c r="A9" s="126"/>
      <c r="B9" s="126"/>
      <c r="C9" s="127" t="str">
        <f ca="1">+'SEZIONI 1-2'!M10</f>
        <v>Indicare le iniziative industriali per le quali l'impresa sia realisticamente in grado di disporre, eventualmente acquisendole sul mercato, delle competenze tecniche occorrenti:</v>
      </c>
      <c r="D9" s="161"/>
      <c r="J9" s="11" t="str">
        <f ca="1">+CONCATENATE(D12,
IF(D13&gt;"",s&amp;D13,""))</f>
        <v>I ricavi non sono controllati in maniera adeguata.</v>
      </c>
      <c r="L9" s="179"/>
      <c r="M9" s="15"/>
    </row>
    <row r="10" spans="1:14" ht="50.1" customHeight="1" x14ac:dyDescent="0.25">
      <c r="A10" s="126"/>
      <c r="B10" s="126"/>
      <c r="C10" s="127"/>
      <c r="D10" s="113" t="str">
        <f ca="1">+'SEZIONI 1-2'!L11</f>
        <v>Il monitoraggio dell'andamento aziendale appare inadeguato.</v>
      </c>
      <c r="J10" s="11" t="str">
        <f ca="1">CONCATENATE(D14,
IF(D15&gt;"",s&amp;D15,""))</f>
        <v>Gli ordini non sono controllati in maniera adeguata.</v>
      </c>
      <c r="L10" s="179"/>
      <c r="M10" s="15"/>
    </row>
    <row r="11" spans="1:14" ht="50.1" customHeight="1" x14ac:dyDescent="0.25">
      <c r="A11" s="126"/>
      <c r="B11" s="126"/>
      <c r="C11" s="127" t="str">
        <f ca="1">+'SEZIONI 1-2'!M11</f>
        <v>Indicare cosa intende fare per controllare la gestione</v>
      </c>
      <c r="D11" s="161"/>
      <c r="J11" s="11" t="str">
        <f ca="1">CONCATENATE(D16,
IF(D17&gt;"",(s&amp;D17),""))</f>
        <v>La posizione finanziaria netta non è costantemente monitorata.</v>
      </c>
      <c r="L11" s="179"/>
      <c r="M11" s="15"/>
    </row>
    <row r="12" spans="1:14" ht="50.1" customHeight="1" x14ac:dyDescent="0.25">
      <c r="A12" s="126"/>
      <c r="B12" s="126"/>
      <c r="C12" s="127"/>
      <c r="D12" s="113" t="str">
        <f ca="1">+'SEZIONI 1-2'!L12</f>
        <v>I ricavi non sono controllati in maniera adeguata.</v>
      </c>
      <c r="J12" s="11" t="str">
        <f ca="1">CONCATENATE(D18,
IF(D19&gt;"",(s&amp;D19),""),s,D20,IF(D21&gt;"",CONCATENATE(s,D21),""))</f>
        <v>L'impresa non fa ancora ricorso a KPI che consentono valutazioni rapide e continue, non è in grado di individuare gli indicatori di produttività coerenti con il proprio modello di business ed il proprio settore di attività, e di raccogliere ulteriori informazioni per la valutazione dell’andamento tendenziale.</v>
      </c>
      <c r="L12" s="179"/>
      <c r="M12" s="15"/>
    </row>
    <row r="13" spans="1:14" ht="50.1" customHeight="1" x14ac:dyDescent="0.25">
      <c r="A13" s="126"/>
      <c r="B13" s="126"/>
      <c r="C13" s="127" t="str">
        <f ca="1">+'SEZIONI 1-2'!M12</f>
        <v>Indicare quale controllo viene fatto e come si intende intervenire per migliorare il sistema di controllo.</v>
      </c>
      <c r="D13" s="161"/>
      <c r="J13" s="11" t="str">
        <f ca="1">CONCATENATE(D22,
IF(D23&gt;"",CONCATENATE(s,D23),""),s,D24,IF(D25&gt;"",CONCATENATE(s,D25),""))</f>
        <v>L'impresa non dispone di un piano di tesoreria a 12 mesi. Non è in grado di predisporre un prospetto delle stime delle entrate e delle uscite finanziare almeno a 13 settimane, il cui scostamento con l’andamento corrente dovrà essere valutato a consuntivo.</v>
      </c>
      <c r="L13" s="179"/>
      <c r="M13" s="15"/>
    </row>
    <row r="14" spans="1:14" ht="50.1" customHeight="1" x14ac:dyDescent="0.25">
      <c r="A14" s="126"/>
      <c r="B14" s="126"/>
      <c r="C14" s="127"/>
      <c r="D14" s="113" t="str">
        <f ca="1">+'SEZIONI 1-2'!L13</f>
        <v>Gli ordini non sono controllati in maniera adeguata.</v>
      </c>
      <c r="L14" s="179"/>
      <c r="M14" s="15"/>
    </row>
    <row r="15" spans="1:14" ht="50.1" customHeight="1" x14ac:dyDescent="0.25">
      <c r="A15" s="126"/>
      <c r="B15" s="126"/>
      <c r="C15" s="127" t="str">
        <f ca="1">+'SEZIONI 1-2'!M13</f>
        <v>Indicare quale controllo viene fatto e come si intende intervenire per migliorare il sistema di controllo.</v>
      </c>
      <c r="D15" s="161"/>
      <c r="I15" s="21" t="str">
        <f>+B26</f>
        <v>Rilevazione della situazione contabile e dell’andamento corrente</v>
      </c>
      <c r="L15" s="33" t="str">
        <f>+I15</f>
        <v>Rilevazione della situazione contabile e dell’andamento corrente</v>
      </c>
      <c r="M15" s="33"/>
    </row>
    <row r="16" spans="1:14" ht="50.1" customHeight="1" x14ac:dyDescent="0.25">
      <c r="A16" s="126"/>
      <c r="B16" s="126"/>
      <c r="C16" s="127"/>
      <c r="D16" s="113" t="str">
        <f ca="1">+'SEZIONI 1-2'!L14</f>
        <v>La posizione finanziaria netta non è costantemente monitorata.</v>
      </c>
      <c r="J16" s="11" t="str">
        <f ca="1">CONCATENATE(D27,
IF(D28&gt;"",(s&amp;D28),""))</f>
        <v>L'ultima situazione redatta risale a oltre 120 giorni.</v>
      </c>
      <c r="L16" s="178" t="str" cm="1">
        <f t="array" aca="1" ref="L16" ca="1">+CONCATENATE(J16,s,J17,s,J18,s,J19,s,J20,s,J21,s,J22,AC,J23,AC,J24,AC,J25,AC,J26,AC,J27)</f>
        <v>L'ultima situazione redatta risale a oltre 120 giorni. La situazione non è da considerarsi affidabile per quanto concerne la corretta rappresentazione della situazione debitoria dell'impresa. Il maggior contabile dei cespiti è superiore al valore di realizzo e a quello di mercato. Non esiste in azienda un prospetto recante l’anzianità dei crediti commerciali , non sono state analizzate le cause del ritardo di incasso tale da consentire una valutazione oggettiva dei rischi di perdite sui crediti e una stima prudente dei tempi di incasso. Non vi sono informazioni sufficienti per suddividere i crediti in base all'anzianità. Per gli scaduti che superano la fisiologia (tempi ordinari di pagamento, pur oltre la scadenza contrattuale, che caratterizzano il settore), la stima del momento dell’incasso non è da considerarsi sufficientemente prudente. Non è stato redatto alcun prospetto recante le rimanenze di magazzino con i tempi di movimentazione che consenta di individuare le giacenze oggetto di lenta rotazione.
L'impresa non ha redatto un prospetto di riconciliazione tra la contabilità e quanto risultante dal certificato unico dei debiti tributari, dalla situazione debitoria complessiva dell’Agente della Riscossione. Ha redatto un prospetto di riconciliazione tra la contabilità e quanto risultante dal certificato unico dei debiti contributivi e assicurativi
La Centrale rischi di Banca D'Italia non viene esaminata periodicamente e non riconciliata con la contabilità.
L’azienda non ha tenuto conto delle passività potenziali.
Esistono rilevanti rischi per garanzie concesse a terzi.
Non è stato nominato l'organo di controllo o il revisore legale.</v>
      </c>
    </row>
    <row r="17" spans="1:14" ht="50.1" customHeight="1" x14ac:dyDescent="0.25">
      <c r="A17" s="126"/>
      <c r="B17" s="126"/>
      <c r="C17" s="127" t="str">
        <f ca="1">+'SEZIONI 1-2'!M14</f>
        <v>Indicare quale controllo viene fatto e come si intende intervenire per migliorare il sistema di controllo.</v>
      </c>
      <c r="D17" s="161"/>
      <c r="J17" s="11" t="str">
        <f ca="1">CONCATENATE(D29,
IF(D30&gt;"",(s&amp;D30),""))</f>
        <v>La situazione non è da considerarsi affidabile per quanto concerne la corretta rappresentazione della situazione debitoria dell'impresa.</v>
      </c>
      <c r="L17" s="178"/>
    </row>
    <row r="18" spans="1:14" ht="50.1" customHeight="1" x14ac:dyDescent="0.25">
      <c r="A18" s="126"/>
      <c r="B18" s="126"/>
      <c r="C18" s="127"/>
      <c r="D18" s="113" t="str">
        <f ca="1">+'SEZIONI 1-2'!L15</f>
        <v>L'impresa non fa ancora ricorso a KPI che consentono valutazioni rapide e continue,</v>
      </c>
      <c r="J18" s="11" t="str">
        <f ca="1">CONCATENATE(D31,
IF(D32&gt;"",(s&amp;D32),""))</f>
        <v>Il maggior contabile dei cespiti è superiore al valore di realizzo e a quello di mercato.</v>
      </c>
      <c r="L18" s="178"/>
    </row>
    <row r="19" spans="1:14" ht="50.1" customHeight="1" x14ac:dyDescent="0.25">
      <c r="A19" s="126"/>
      <c r="B19" s="126"/>
      <c r="C19" s="127">
        <f ca="1">+'SEZIONI 1-2'!M15</f>
        <v>0</v>
      </c>
      <c r="D19" s="113"/>
      <c r="J19" s="11" t="str">
        <f ca="1">CONCATENATE(D33,
IF(D34,(s&amp;D34),""),s,D35,IF(D36&gt;"",(s&amp;D36),""))</f>
        <v>Non esiste in azienda un prospetto recante l’anzianità dei crediti commerciali , non sono state analizzate le cause del ritardo di incasso tale da consentire una valutazione oggettiva dei rischi di perdite sui crediti e una stima prudente dei tempi di incasso.</v>
      </c>
      <c r="L19" s="178"/>
    </row>
    <row r="20" spans="1:14" ht="50.1" customHeight="1" x14ac:dyDescent="0.25">
      <c r="A20" s="126"/>
      <c r="B20" s="126"/>
      <c r="C20" s="127"/>
      <c r="D20" s="113" t="str">
        <f ca="1">+'SEZIONI 1-2'!L16</f>
        <v>non è in grado di individuare gli indicatori di produttività coerenti con il proprio modello di business ed il proprio settore di attività, e di raccogliere ulteriori informazioni per la valutazione dell’andamento tendenziale.</v>
      </c>
      <c r="J20" s="11" t="str">
        <f ca="1">CONCATENATE(D37,IF(D38&gt;"",(s&amp;D38),""))</f>
        <v>Non vi sono informazioni sufficienti per suddividere i crediti in base all'anzianità.</v>
      </c>
      <c r="L20" s="178"/>
    </row>
    <row r="21" spans="1:14" ht="50.1" customHeight="1" x14ac:dyDescent="0.25">
      <c r="A21" s="126"/>
      <c r="B21" s="126"/>
      <c r="C21" s="127" t="str">
        <f ca="1">+'SEZIONI 1-2'!M16</f>
        <v>Indicare se e quando intende adottare i KPI, quale metodologia intende adottare (BSC, BMC, KPI, ecc) e  quali controlli avvengono per misurare la produttività aziendale.</v>
      </c>
      <c r="D21" s="161"/>
      <c r="J21" s="11" t="str">
        <f ca="1">CONCATENATE(D39,IF(D40&gt;"",(s&amp;D40),""))</f>
        <v>Per gli scaduti che superano la fisiologia (tempi ordinari di pagamento, pur oltre la scadenza contrattuale, che caratterizzano il settore), la stima del momento dell’incasso non è da considerarsi sufficientemente prudente.</v>
      </c>
      <c r="L21" s="178"/>
    </row>
    <row r="22" spans="1:14" ht="50.1" customHeight="1" x14ac:dyDescent="0.25">
      <c r="A22" s="126"/>
      <c r="B22" s="126"/>
      <c r="C22" s="127"/>
      <c r="D22" s="113" t="str">
        <f ca="1">+'SEZIONI 1-2'!L17</f>
        <v>L'impresa non dispone di un piano di tesoreria a 12 mesi.</v>
      </c>
      <c r="J22" s="11" t="str">
        <f ca="1">CONCATENATE(D41,IF(D42&gt;"",(s&amp;D42),""))</f>
        <v>Non è stato redatto alcun prospetto recante le rimanenze di magazzino con i tempi di movimentazione che consenta di individuare le giacenze oggetto di lenta rotazione.</v>
      </c>
      <c r="L22" s="178"/>
    </row>
    <row r="23" spans="1:14" ht="50.1" customHeight="1" x14ac:dyDescent="0.25">
      <c r="A23" s="126"/>
      <c r="B23" s="126"/>
      <c r="C23" s="127" t="str">
        <f ca="1">+'SEZIONI 1-2'!M17</f>
        <v>Spiegare le motivazioni per le quali non è stato redatto un piano di tesoreria e come si intende rimuovere gli ostacoli.</v>
      </c>
      <c r="D23" s="161"/>
      <c r="J23" s="11" t="str">
        <f ca="1">CONCATENATE(D43,
IF(D44&gt;"",(s&amp;D44),""),s,D45,IF(D46&gt;"",(s&amp;D46),""))</f>
        <v>L'impresa non ha redatto un prospetto di riconciliazione tra la contabilità e quanto risultante dal certificato unico dei debiti tributari, dalla situazione debitoria complessiva dell’Agente della Riscossione. Ha redatto un prospetto di riconciliazione tra la contabilità e quanto risultante dal certificato unico dei debiti contributivi e assicurativi</v>
      </c>
      <c r="L23" s="178"/>
    </row>
    <row r="24" spans="1:14" ht="50.1" customHeight="1" x14ac:dyDescent="0.25">
      <c r="A24" s="126"/>
      <c r="B24" s="126"/>
      <c r="C24" s="127"/>
      <c r="D24" s="113" t="str">
        <f ca="1">+'SEZIONI 1-2'!L18</f>
        <v>Non è in grado di predisporre un prospetto delle stime delle entrate e delle uscite finanziare almeno a 13 settimane, il cui scostamento con l’andamento corrente dovrà essere valutato a consuntivo.</v>
      </c>
      <c r="J24" s="11" t="str">
        <f ca="1">CONCATENATE(D47,
IF(D48&gt;"",(s&amp;D48),""),s,D49,IF(D50&gt;"",(s&amp;D50),""))</f>
        <v>La Centrale rischi di Banca D'Italia non viene esaminata periodicamente e non riconciliata con la contabilità.</v>
      </c>
      <c r="L24" s="178"/>
    </row>
    <row r="25" spans="1:14" ht="50.1" customHeight="1" x14ac:dyDescent="0.25">
      <c r="A25" s="126"/>
      <c r="B25" s="126"/>
      <c r="C25" s="127" t="str">
        <f ca="1">+'SEZIONI 1-2'!M18</f>
        <v>Spiegare le motivazioni per le quali non è stato redatto il prospetto e come si intende rimuovere gli ostacoli.</v>
      </c>
      <c r="D25" s="161"/>
      <c r="J25" s="11" t="str">
        <f ca="1">CONCATENATE(D51,IF(D52&gt;"",(s&amp;D52),""))</f>
        <v>L’azienda non ha tenuto conto delle passività potenziali.</v>
      </c>
      <c r="L25" s="178"/>
    </row>
    <row r="26" spans="1:14" ht="50.1" customHeight="1" x14ac:dyDescent="0.25">
      <c r="A26" s="126"/>
      <c r="B26" s="149" t="str">
        <f>+'SEZIONI 1-2'!$D$20</f>
        <v>Rilevazione della situazione contabile e dell’andamento corrente</v>
      </c>
      <c r="C26" s="149"/>
      <c r="D26" s="149"/>
      <c r="J26" s="11" t="str">
        <f ca="1">CONCATENATE(D53,IF(D54&gt;"",(s&amp;D54),""))</f>
        <v>Esistono rilevanti rischi per garanzie concesse a terzi.</v>
      </c>
      <c r="L26" s="178"/>
    </row>
    <row r="27" spans="1:14" ht="50.1" customHeight="1" x14ac:dyDescent="0.25">
      <c r="A27" s="126"/>
      <c r="B27" s="126"/>
      <c r="C27" s="127"/>
      <c r="D27" s="113" t="str">
        <f ca="1">+'SEZIONI 1-2'!L21</f>
        <v>L'ultima situazione redatta risale a oltre 120 giorni.</v>
      </c>
      <c r="J27" s="11" t="str">
        <f ca="1">CONCATENATE(D55,IF(D56&gt;"",(s&amp;D56),""))</f>
        <v>Non è stato nominato l'organo di controllo o il revisore legale.</v>
      </c>
      <c r="L27" s="178"/>
      <c r="N27" s="15"/>
    </row>
    <row r="28" spans="1:14" ht="50.1" customHeight="1" x14ac:dyDescent="0.25">
      <c r="A28" s="126"/>
      <c r="B28" s="126"/>
      <c r="C28" s="127" t="str">
        <f ca="1">+'SEZIONI 1-2'!M21</f>
        <v>Indicare i tempi previsti per una situazione aggiornata</v>
      </c>
      <c r="D28" s="161"/>
      <c r="L28" s="178"/>
    </row>
    <row r="29" spans="1:14" ht="50.1" customHeight="1" x14ac:dyDescent="0.25">
      <c r="A29" s="126"/>
      <c r="B29" s="126"/>
      <c r="C29" s="127"/>
      <c r="D29" s="113" t="str">
        <f ca="1">+'SEZIONI 1-2'!L22</f>
        <v>La situazione non è da considerarsi affidabile per quanto concerne la corretta rappresentazione della situazione debitoria dell'impresa.</v>
      </c>
      <c r="L29" s="33" t="str">
        <f>+I32</f>
        <v>Individuazione delle strategie di intervento atte a prevenire e rimuovere le cause della crisi</v>
      </c>
      <c r="M29" s="33"/>
    </row>
    <row r="30" spans="1:14" ht="50.1" customHeight="1" x14ac:dyDescent="0.25">
      <c r="A30" s="126"/>
      <c r="B30" s="126"/>
      <c r="C30" s="127" t="str">
        <f ca="1">+'SEZIONI 1-2'!M22</f>
        <v>Indicare le cause che impediscono un'affidabilità della situazione debitoria.</v>
      </c>
      <c r="D30" s="161"/>
      <c r="L30" s="179" t="str" cm="1">
        <f t="array" aca="1" ref="L30" ca="1">+CONCATENATE(J33,s,J34,s,J35,AC,J36,s,J37,s,J38,s,J39,s,J40,s,J41,s,J42,AC,J43,AC,J44,s,J45,s,J46,s,J47,s,J48,s,J49,AC,J50,s,J51,s,J52,s,J53,s,J54,AC,J55)</f>
        <v>Esistono alcune evidenze tali da far presagire uno stato di crisi e o uno squilibrio economico patrimoniale.  Lo stato di crisi ha causato anomalie:
• da un punto di vista commerciale;
Da un punto di vista commerciale si sono verificati altro (specificare). 
 Nei rapporti con le banche sono state rilevate altro (specificare). 
 Da un punto di vista gestionale si segnala altro (specificare). 
 La situazione di difficoltà descritta ha causato un debito da ristrutturare (per mancati pagamenti e/o richieste di rientro) per altro (specificare). 
 Sul lato delle iniziative dei creditori si segnalano altro (specificare). 
 Tenuto conto delle manifestazioni, le cause sono: altro (specificare). L’organo di controllo ed il revisore, quando in carica, non ritengono che il quadro fornito dall’imprenditore sia completo e adeguato.
L'impresa non ha ancora individuato le strategie di intervento e le iniziative industriali che intende adottare.
Non esistono strategie di successo adottate dalla concorrenza. Tali strategie non sono adottabili dall'impresa. L’impresa non dispone delle capacità e delle competenze manageriali per realizzare le iniziative industriali. Per quanto concerne i tempi e gli effetti in termini di ricavi, di costi e di investimenti delle iniziative da adottare Indicare i tempi e i relativi effetti in termini di ricavi, di costi e di invesgtimenti delle iniziative da adottare.  Le relative funzioni aziendali responsabili sono Indicare quali sono le relative funzioni aziendali responsabili.  Non sono prospettabili iniziative alternative nel caso in cui le iniziative dovessero dimostrarsi inefficaci e si manifestassero scostamenti tra gli obiettivi pianificati e quelli raggiunti.
 Non sono mai stati predisposti piani aziendali. Il piano non è coerente con i piani redatti in precedenza e non vi sono differenze significative. Il piano non appare credibile. Non è fondato su intenzioni strategiche chiare e razionali, condivisibili da parte di un lettore informato quale è l’esperto, coerenti con la situazione di fatto dell’impresa e del contesto in cui opera.
Le strategie di intervento e le iniziative industriali individuate dall’imprenditore non appaiono appropriate per il superamento delle cause della crisi.</v>
      </c>
      <c r="M30" s="15"/>
    </row>
    <row r="31" spans="1:14" ht="50.1" customHeight="1" x14ac:dyDescent="0.25">
      <c r="A31" s="126"/>
      <c r="B31" s="126"/>
      <c r="C31" s="127"/>
      <c r="D31" s="113" t="str">
        <f ca="1">+'SEZIONI 1-2'!L23</f>
        <v>Il maggior contabile dei cespiti è superiore al valore di realizzo e a quello di mercato.</v>
      </c>
      <c r="L31" s="179"/>
      <c r="M31" s="15"/>
    </row>
    <row r="32" spans="1:14" ht="50.1" customHeight="1" x14ac:dyDescent="0.25">
      <c r="A32" s="126"/>
      <c r="B32" s="126"/>
      <c r="C32" s="127" t="str">
        <f ca="1">+'SEZIONI 1-2'!M23</f>
        <v>L'impresa intende quanto meno appostare con prudenza adeguati fondi rischi e fondi per l’adeguamento delle attività e delle passività?</v>
      </c>
      <c r="D32" s="161"/>
      <c r="I32" s="21" t="str">
        <f>+B63</f>
        <v>Individuazione delle strategie di intervento atte a prevenire e rimuovere le cause della crisi</v>
      </c>
      <c r="L32" s="179"/>
      <c r="M32" s="15"/>
    </row>
    <row r="33" spans="1:13" ht="50.1" customHeight="1" x14ac:dyDescent="0.25">
      <c r="A33" s="126"/>
      <c r="B33" s="126"/>
      <c r="C33" s="127"/>
      <c r="D33" s="113" t="str">
        <f ca="1">+'SEZIONI 1-2'!L24</f>
        <v>Non esiste in azienda un prospetto recante l’anzianità dei crediti commerciali</v>
      </c>
      <c r="J33" s="11" t="str">
        <f ca="1">CONCATENATE(D64,IF(D65&gt;"",(s&amp;D65),""))</f>
        <v>Esistono alcune evidenze tali da far presagire uno stato di crisi e o uno squilibrio economico patrimoniale.</v>
      </c>
      <c r="L33" s="179"/>
      <c r="M33" s="15"/>
    </row>
    <row r="34" spans="1:13" ht="50.1" customHeight="1" x14ac:dyDescent="0.25">
      <c r="A34" s="126"/>
      <c r="B34" s="126"/>
      <c r="C34" s="127">
        <f ca="1">+'SEZIONI 1-2'!M24</f>
        <v>0</v>
      </c>
      <c r="D34" s="113"/>
      <c r="J34" s="11" t="str">
        <f>CONCATENATE(D66,IF(D67&gt;"",(s&amp;D67),""))</f>
        <v/>
      </c>
      <c r="L34" s="179"/>
      <c r="M34" s="15"/>
    </row>
    <row r="35" spans="1:13" ht="50.1" customHeight="1" x14ac:dyDescent="0.25">
      <c r="A35" s="126"/>
      <c r="B35" s="126"/>
      <c r="C35" s="127"/>
      <c r="D35" s="113" t="str">
        <f ca="1">+'SEZIONI 1-2'!L25</f>
        <v>, non sono state analizzate le cause del ritardo di incasso tale da consentire una valutazione oggettiva dei rischi di perdite sui crediti e una stima prudente dei tempi di incasso.</v>
      </c>
      <c r="J35" s="11" t="str">
        <f>CONCATENATE(D68,IF(D69&gt;"",(s&amp;D69),""))</f>
        <v>Lo stato di crisi ha causato anomalie:
• da un punto di vista commerciale;</v>
      </c>
      <c r="L35" s="179"/>
      <c r="M35" s="15"/>
    </row>
    <row r="36" spans="1:13" ht="50.1" customHeight="1" x14ac:dyDescent="0.25">
      <c r="A36" s="126"/>
      <c r="B36" s="126"/>
      <c r="C36" s="127" t="str">
        <f ca="1">+'SEZIONI 1-2'!M25</f>
        <v>Indicare eventuali interventi in termini di credit management</v>
      </c>
      <c r="D36" s="161"/>
      <c r="J36" s="11" t="str">
        <f>CONCATENATE(D70,IF(D71&gt;"",(s&amp;D71),""))</f>
        <v xml:space="preserve">Da un punto di vista commerciale si sono verificati altro (specificare). 
</v>
      </c>
      <c r="L36" s="179"/>
      <c r="M36" s="15"/>
    </row>
    <row r="37" spans="1:13" ht="50.1" customHeight="1" x14ac:dyDescent="0.25">
      <c r="A37" s="126"/>
      <c r="B37" s="126"/>
      <c r="C37" s="127"/>
      <c r="D37" s="113" t="str">
        <f ca="1">+'SEZIONI 1-2'!L26</f>
        <v>Non vi sono informazioni sufficienti per suddividere i crediti in base all'anzianità.</v>
      </c>
      <c r="J37" s="11" t="str">
        <f>CONCATENATE(D72,IF(D73&gt;"",(s&amp;D73),""))</f>
        <v xml:space="preserve">Nei rapporti con le banche sono state rilevate altro (specificare). 
</v>
      </c>
      <c r="L37" s="179"/>
      <c r="M37" s="15"/>
    </row>
    <row r="38" spans="1:13" ht="50.1" customHeight="1" x14ac:dyDescent="0.25">
      <c r="A38" s="126"/>
      <c r="B38" s="126"/>
      <c r="C38" s="127" t="str">
        <f ca="1">+'SEZIONI 1-2'!M26</f>
        <v>Indicare eventuali interventi in termini di credit management</v>
      </c>
      <c r="D38" s="161"/>
      <c r="J38" s="11" t="str">
        <f>CONCATENATE(D74,IF(D75&gt;"",(s&amp;D75),""))</f>
        <v xml:space="preserve">Da un punto di vista gestionale si segnala altro (specificare). 
</v>
      </c>
      <c r="L38" s="179"/>
      <c r="M38" s="15"/>
    </row>
    <row r="39" spans="1:13" ht="50.1" customHeight="1" x14ac:dyDescent="0.25">
      <c r="A39" s="126"/>
      <c r="B39" s="126"/>
      <c r="C39" s="127"/>
      <c r="D39" s="113" t="str">
        <f ca="1">+'SEZIONI 1-2'!L27</f>
        <v>Per gli scaduti che superano la fisiologia (tempi ordinari di pagamento, pur oltre la scadenza contrattuale, che caratterizzano il settore), la stima del momento dell’incasso non è da considerarsi sufficientemente prudente.</v>
      </c>
      <c r="J39" s="11" t="str">
        <f>CONCATENATE(D76,IF(D77&gt;"",(s&amp;D77),""))</f>
        <v xml:space="preserve">La situazione di difficoltà descritta ha causato un debito da ristrutturare (per mancati pagamenti e/o richieste di rientro) per altro (specificare). 
</v>
      </c>
      <c r="L39" s="179"/>
      <c r="M39" s="15"/>
    </row>
    <row r="40" spans="1:13" ht="50.1" customHeight="1" x14ac:dyDescent="0.25">
      <c r="A40" s="126"/>
      <c r="B40" s="126"/>
      <c r="C40" s="127" t="str">
        <f ca="1">+'SEZIONI 1-2'!M27</f>
        <v>Quali elementi non sono valutati con la dovuta prudenza?</v>
      </c>
      <c r="D40" s="161"/>
      <c r="J40" s="11" t="str">
        <f>CONCATENATE(D78,IF(D79&gt;"",(s&amp;D79),""))</f>
        <v xml:space="preserve">Sul lato delle iniziative dei creditori si segnalano altro (specificare). 
</v>
      </c>
      <c r="L40" s="179"/>
      <c r="M40" s="15"/>
    </row>
    <row r="41" spans="1:13" ht="50.1" customHeight="1" x14ac:dyDescent="0.25">
      <c r="A41" s="126"/>
      <c r="B41" s="126"/>
      <c r="C41" s="127"/>
      <c r="D41" s="113" t="str">
        <f ca="1">+'SEZIONI 1-2'!L28</f>
        <v>Non è stato redatto alcun prospetto recante le rimanenze di magazzino con i tempi di movimentazione che consenta di individuare le giacenze oggetto di lenta rotazione.</v>
      </c>
      <c r="J41" s="11" t="str">
        <f>CONCATENATE(D80,IF(D81&gt;"",(s&amp;D81),""))</f>
        <v>Tenuto conto delle manifestazioni, le cause sono: altro (specificare).</v>
      </c>
      <c r="L41" s="179"/>
      <c r="M41" s="15"/>
    </row>
    <row r="42" spans="1:13" ht="50.1" customHeight="1" x14ac:dyDescent="0.25">
      <c r="A42" s="126"/>
      <c r="B42" s="126"/>
      <c r="C42" s="127" t="str">
        <f ca="1">+'SEZIONI 1-2'!M28</f>
        <v>Indicare le cause e gli interventi in merito</v>
      </c>
      <c r="D42" s="161"/>
      <c r="J42" s="11" t="str">
        <f ca="1">CONCATENATE(D82,IF(D83&gt;"",(s&amp;D83),""))</f>
        <v>L’organo di controllo ed il revisore, quando in carica, non ritengono che il quadro fornito dall’imprenditore sia completo e adeguato.</v>
      </c>
      <c r="L42" s="179"/>
      <c r="M42" s="15"/>
    </row>
    <row r="43" spans="1:13" ht="50.1" customHeight="1" x14ac:dyDescent="0.25">
      <c r="A43" s="126"/>
      <c r="B43" s="126"/>
      <c r="C43" s="127"/>
      <c r="D43" s="113" t="str">
        <f ca="1">+'SEZIONI 1-2'!L29</f>
        <v>L'impresa non ha redatto un prospetto di riconciliazione tra la contabilità e quanto risultante dal certificato unico dei debiti tributari, dalla situazione debitoria complessiva dell’Agente della Riscossione.</v>
      </c>
      <c r="J43" s="11" t="str">
        <f ca="1">CONCATENATE(D84,IF(D85&gt;"",(s&amp;D85),""))</f>
        <v>L'impresa non ha ancora individuato le strategie di intervento e le iniziative industriali che intende adottare.</v>
      </c>
      <c r="L43" s="179"/>
      <c r="M43" s="15"/>
    </row>
    <row r="44" spans="1:13" ht="50.1" customHeight="1" x14ac:dyDescent="0.25">
      <c r="A44" s="126"/>
      <c r="B44" s="126"/>
      <c r="C44" s="127" t="str">
        <f ca="1">+'SEZIONI 1-2'!M29</f>
        <v>Indicare le cause e gli interventi in merito</v>
      </c>
      <c r="D44" s="161"/>
      <c r="J44" s="11" t="str">
        <f ca="1">CONCATENATE(D86,IF(D87&gt;"",(s&amp;D87),""))</f>
        <v>Non esistono strategie di successo adottate dalla concorrenza.</v>
      </c>
      <c r="L44" s="179"/>
      <c r="M44" s="15"/>
    </row>
    <row r="45" spans="1:13" ht="50.1" customHeight="1" x14ac:dyDescent="0.25">
      <c r="A45" s="126"/>
      <c r="B45" s="126"/>
      <c r="C45" s="127"/>
      <c r="D45" s="113" t="str">
        <f ca="1">+'SEZIONI 1-2'!L30</f>
        <v>Ha redatto un prospetto di riconciliazione tra la contabilità e quanto risultante dal certificato unico dei debiti contributivi e assicurativi</v>
      </c>
      <c r="J45" s="11" t="str">
        <f ca="1">CONCATENATE(D88,IF(D89&gt;"",(s&amp;D89),""))</f>
        <v>Tali strategie non sono adottabili dall'impresa.</v>
      </c>
      <c r="L45" s="179"/>
      <c r="M45" s="15"/>
    </row>
    <row r="46" spans="1:13" ht="50.1" customHeight="1" x14ac:dyDescent="0.25">
      <c r="A46" s="126"/>
      <c r="B46" s="126"/>
      <c r="C46" s="127" t="str">
        <f ca="1">+'SEZIONI 1-2'!M30</f>
        <v>Indicare le cause e gli interventi in merito</v>
      </c>
      <c r="D46" s="161"/>
      <c r="J46" s="11" t="str">
        <f ca="1">CONCATENATE(D90,IF(D91&gt;"",(s&amp;D91),""))</f>
        <v>L’impresa non dispone delle capacità e delle competenze manageriali per realizzare le iniziative industriali.</v>
      </c>
      <c r="L46" s="179"/>
      <c r="M46" s="15"/>
    </row>
    <row r="47" spans="1:13" ht="50.1" customHeight="1" x14ac:dyDescent="0.25">
      <c r="A47" s="126"/>
      <c r="B47" s="126"/>
      <c r="C47" s="127"/>
      <c r="D47" s="113" t="str">
        <f ca="1">+'SEZIONI 1-2'!L31</f>
        <v>La Centrale rischi di Banca D'Italia non viene esaminata periodicamente e</v>
      </c>
      <c r="J47" s="11" t="str">
        <f>CONCATENATE(D92,IF(D93&gt;"",(s&amp;D93),""))</f>
        <v xml:space="preserve">Per quanto concerne i tempi e gli effetti in termini di ricavi, di costi e di investimenti delle iniziative da adottare Indicare i tempi e i relativi effetti in termini di ricavi, di costi e di invesgtimenti delle iniziative da adottare. </v>
      </c>
      <c r="L47" s="179"/>
      <c r="M47" s="15"/>
    </row>
    <row r="48" spans="1:13" ht="50.1" customHeight="1" x14ac:dyDescent="0.25">
      <c r="A48" s="126"/>
      <c r="B48" s="126"/>
      <c r="C48" s="127">
        <f ca="1">+'SEZIONI 1-2'!M31</f>
        <v>0</v>
      </c>
      <c r="D48" s="113"/>
      <c r="J48" s="11" t="str">
        <f>CONCATENATE(D94,IF(D95&gt;"",(s&amp;D95),""))</f>
        <v xml:space="preserve">Le relative funzioni aziendali responsabili sono Indicare quali sono le relative funzioni aziendali responsabili. </v>
      </c>
      <c r="L48" s="179"/>
      <c r="M48" s="15"/>
    </row>
    <row r="49" spans="1:13" ht="50.1" customHeight="1" x14ac:dyDescent="0.25">
      <c r="A49" s="126"/>
      <c r="B49" s="126"/>
      <c r="C49" s="127"/>
      <c r="D49" s="113" t="str">
        <f ca="1">+'SEZIONI 1-2'!L32</f>
        <v>non riconciliata con la contabilità.</v>
      </c>
      <c r="J49" s="11" t="str">
        <f ca="1">CONCATENATE(D96,IF(D97&gt;"",(s&amp;D97),""))</f>
        <v>Non sono prospettabili iniziative alternative nel caso in cui le iniziative dovessero dimostrarsi inefficaci e si manifestassero scostamenti tra gli obiettivi pianificati e quelli raggiunti.</v>
      </c>
      <c r="L49" s="179"/>
      <c r="M49" s="15"/>
    </row>
    <row r="50" spans="1:13" ht="50.1" customHeight="1" x14ac:dyDescent="0.25">
      <c r="A50" s="126"/>
      <c r="B50" s="126"/>
      <c r="C50" s="127" t="str">
        <f ca="1">+'SEZIONI 1-2'!M32</f>
        <v>Indicare le cause e gli interventi in merito</v>
      </c>
      <c r="D50" s="161"/>
      <c r="J50" s="11" t="str">
        <f ca="1">CONCATENATE(D98,IF(D99&gt;"",(s&amp;D99),""))</f>
        <v xml:space="preserve"> Non sono mai stati predisposti piani aziendali.</v>
      </c>
      <c r="L50" s="179"/>
      <c r="M50" s="15"/>
    </row>
    <row r="51" spans="1:13" ht="50.1" customHeight="1" x14ac:dyDescent="0.25">
      <c r="A51" s="126"/>
      <c r="B51" s="126"/>
      <c r="C51" s="127"/>
      <c r="D51" s="113" t="str">
        <f ca="1">+'SEZIONI 1-2'!L33</f>
        <v>L’azienda non ha tenuto conto delle passività potenziali.</v>
      </c>
      <c r="J51" s="11" t="str">
        <f ca="1">CONCATENATE(D100,IF(D101&gt;"",(s&amp;D101),""))</f>
        <v>Il piano non è coerente con i piani redatti in precedenza</v>
      </c>
      <c r="L51" s="179"/>
      <c r="M51" s="15"/>
    </row>
    <row r="52" spans="1:13" ht="50.1" customHeight="1" x14ac:dyDescent="0.25">
      <c r="A52" s="126"/>
      <c r="B52" s="126"/>
      <c r="C52" s="127" t="str">
        <f ca="1">+'SEZIONI 1-2'!M33</f>
        <v>Di che entità sono eventuali passività potenziali?</v>
      </c>
      <c r="D52" s="161"/>
      <c r="J52" s="11" t="str">
        <f ca="1">CONCATENATE(D102,IF(D103&gt;"",(s&amp;D103),""))</f>
        <v>e non vi sono differenze significative.</v>
      </c>
      <c r="L52" s="179"/>
      <c r="M52" s="15"/>
    </row>
    <row r="53" spans="1:13" ht="50.1" customHeight="1" x14ac:dyDescent="0.25">
      <c r="A53" s="126"/>
      <c r="B53" s="126"/>
      <c r="C53" s="128"/>
      <c r="D53" s="113" t="str">
        <f ca="1">+'SEZIONI 1-2'!L34</f>
        <v>Esistono rilevanti rischi per garanzie concesse a terzi.</v>
      </c>
      <c r="J53" s="11" t="str">
        <f ca="1">CONCATENATE(D104,IF(D105&gt;"",(s&amp;D105),""))</f>
        <v>Il piano non appare credibile.</v>
      </c>
      <c r="L53" s="179"/>
      <c r="M53" s="15"/>
    </row>
    <row r="54" spans="1:13" ht="50.1" customHeight="1" x14ac:dyDescent="0.25">
      <c r="A54" s="126"/>
      <c r="B54" s="126"/>
      <c r="C54" s="127" t="str">
        <f ca="1">+'SEZIONI 1-2'!M34</f>
        <v>Descrivere e precisare se ne è stato tenuto conto a livello di fondi rischi.</v>
      </c>
      <c r="D54" s="161"/>
      <c r="J54" s="11" t="str">
        <f ca="1">CONCATENATE(D106,IF(D107&gt;"",(s&amp;D107),""))</f>
        <v>Non è fondato su intenzioni strategiche chiare e razionali, condivisibili da parte di un lettore informato quale è l’esperto, coerenti con la situazione di fatto dell’impresa e del contesto in cui opera.</v>
      </c>
      <c r="L54" s="17" t="str">
        <f>+I57</f>
        <v>Le proiezioni dei flussi finanziari</v>
      </c>
      <c r="M54" s="17"/>
    </row>
    <row r="55" spans="1:13" ht="50.1" customHeight="1" x14ac:dyDescent="0.25">
      <c r="A55" s="126"/>
      <c r="B55" s="126"/>
      <c r="C55" s="127"/>
      <c r="D55" s="113" t="str">
        <f ca="1">+'SEZIONI 1-2'!L35</f>
        <v>Non è stato nominato l'organo di controllo o il revisore legale.</v>
      </c>
      <c r="J55" s="11" t="str">
        <f ca="1">CONCATENATE(D108,IF(D109&gt;"",(s&amp;D109),""))</f>
        <v>Le strategie di intervento e le iniziative industriali individuate dall’imprenditore non appaiono appropriate per il superamento delle cause della crisi.</v>
      </c>
      <c r="L55" s="179" t="str" cm="1">
        <f t="array" aca="1" ref="L55" ca="1">+CONCATENATE(J58,AC,J59,AC,J60,s,J61,s,J62,s,J63,AC,J64,s,J65,s,J66,AC,J67,AC,J68,AC,J69,AC,J70,s,J71,AC,J72,AC,J73,s,J74,s,J75,s,J76,AC,J77,AC,J78,AC,J79,AC,J80,AC,J81,AC,J82,AC,J83)</f>
        <v>La stima delle proiezioni dei flussi finanziari del piano è l'esito di un percorso che si dipana nelle seguenti fasi successive: altro (specificare). 
Le proiezioni fondate su previsioni non coprono un periodo massimo di 5 anni.
I ricavi sono stati stimati nel seguente modo: Indicare la stima dei ricavi.  Le proiezioni dei ricavi non sono coerenti con i dati storici e quelli correnti. Le variazioni dei ricavi prospettici rispetto al dato corrente dell’esercizio in corso sono state giustificate in maniera adeguata. Le variazioni dei ricavi del piano non sono state confrontate con le prospettive del settore.
La metodologia di stima dei costi variabili correlati ai ricavi e dei costi fissi è la seguente: Indicare la metodologia di stima dei costi variabili e dei costi fissi.  La stima dei costi variabili e dei costi di struttura non è coerente con la situazione in atto e con i dati storici. I risparmi dei costi variabili e fissi sono: Indicare i risparmi e come l’imprenditore intende conseguirli.  I possibili rischi che derivano dai risparmi di costo: Indicare i risparmi e come l’imprenditore intende conseguirli. 
La metodologia di stima degli investimenti è la seguente: Indicare la metodologia di stima degli investimenti. 
La società non svolge più attività.
Il piano non tiene conto in misura adeguata degli investimenti di mantenimento occorrenti.
La metodologia di stima degli effetti delle iniziative industriali che si intendono intraprendere in discontinuità rispetto al passato è la seguente: Indicare la metodologia di stima degli effetti delle iniziative industriali che si intendono intraprendere in discontinuità rispetto al passato.  La  stima degli effetti di tali iniziative (in termini di investimenti, ricavi e costi) non è coerente con le informazioni disponibili ed è ritenuta giustificata dalle diverse funzioni aziendali.
I dati economici prognostici non sono coerenti.
Non è stata svolta una verifica di ragionevolezza della redditività prospettica quale risulta dai paragrafi precedenti. La redditività ed i principali indicatori chiave gestionali (KPI) prospettici non sono coerenti con l’andamento storico. Non è giustificata ogni differenza tra l’incidenza del margine operativo lordo sui ricavi ed i benchmark di mercato disponibili. Non sono previste operazioni straordinarie.
Non è stata prevista la dismissione di cespiti d'investimento.
Non è stato stimato il pagamento delle imposte sul reddito.
Nella stima del pagamento delle imposte non si è tenuto conto dell’effetto delle perdite fiscali a nuovo e del periodo di imputazione fiscale dei costi e dei ricavi.
Non è presente declinazione finanziaria delle grandezze economiche e determinazione dei flussi al servizio del debito.
L'impresa non ha determinato le grandezze patrimoniali.
Su di esse non si innestano le poposte alle parti interessate e non viene calcolata la stima dell’andamento del patrimonio netto al termine dei singoli anni del piano.</v>
      </c>
      <c r="M55" s="15"/>
    </row>
    <row r="56" spans="1:13" ht="50.1" customHeight="1" x14ac:dyDescent="0.25">
      <c r="A56" s="126"/>
      <c r="B56" s="126"/>
      <c r="C56" s="127" t="str">
        <f ca="1">+'SEZIONI 1-2'!M35</f>
        <v>Chiarire le ragioni.</v>
      </c>
      <c r="D56" s="161"/>
      <c r="L56" s="179"/>
      <c r="M56" s="15"/>
    </row>
    <row r="57" spans="1:13" ht="50.1" customHeight="1" x14ac:dyDescent="0.25">
      <c r="A57" s="58"/>
      <c r="B57" s="58"/>
      <c r="C57" s="129"/>
      <c r="D57" s="88"/>
      <c r="I57" s="22" t="str">
        <f>+B111</f>
        <v>Le proiezioni dei flussi finanziari</v>
      </c>
      <c r="L57" s="179"/>
      <c r="M57" s="15"/>
    </row>
    <row r="58" spans="1:13" ht="50.1" customHeight="1" x14ac:dyDescent="0.25">
      <c r="A58" s="58"/>
      <c r="B58" s="58"/>
      <c r="C58" s="129"/>
      <c r="D58" s="88"/>
      <c r="J58" s="11" t="str">
        <f>CONCATENATE(D112,IF(D113&gt;"",(s&amp;D113),""))</f>
        <v xml:space="preserve">La stima delle proiezioni dei flussi finanziari del piano è l'esito di un percorso che si dipana nelle seguenti fasi successive: altro (specificare). </v>
      </c>
      <c r="L58" s="179"/>
      <c r="M58" s="15"/>
    </row>
    <row r="59" spans="1:13" ht="50.1" customHeight="1" x14ac:dyDescent="0.25">
      <c r="A59" s="126"/>
      <c r="B59" s="126"/>
      <c r="C59" s="127"/>
      <c r="D59" s="113"/>
      <c r="J59" s="11" t="str">
        <f ca="1">CONCATENATE(D114,IF(D115&gt;"",(s&amp;D115),""))</f>
        <v>Le proiezioni fondate su previsioni non coprono un periodo massimo di 5 anni.</v>
      </c>
      <c r="L59" s="179"/>
      <c r="M59" s="15"/>
    </row>
    <row r="60" spans="1:13" ht="50.1" customHeight="1" x14ac:dyDescent="0.25">
      <c r="A60" s="126"/>
      <c r="B60" s="126"/>
      <c r="C60" s="127"/>
      <c r="D60" s="113"/>
      <c r="J60" s="11" t="str">
        <f>CONCATENATE(D116,IF(D117&gt;"",(s&amp;D117),""))</f>
        <v xml:space="preserve">I ricavi sono stati stimati nel seguente modo: Indicare la stima dei ricavi. </v>
      </c>
      <c r="L60" s="179"/>
      <c r="M60" s="15"/>
    </row>
    <row r="61" spans="1:13" ht="50.1" customHeight="1" x14ac:dyDescent="0.25">
      <c r="A61" s="126"/>
      <c r="B61" s="126"/>
      <c r="C61" s="127"/>
      <c r="D61" s="113"/>
      <c r="J61" s="11" t="str">
        <f ca="1">IF(J60="","",CONCATENATE(D118,IF(D119&gt;"",(s&amp;D119),"")))</f>
        <v>Le proiezioni dei ricavi non sono coerenti con i dati storici e quelli correnti.</v>
      </c>
      <c r="L61" s="179"/>
      <c r="M61" s="15"/>
    </row>
    <row r="62" spans="1:13" ht="50.1" customHeight="1" x14ac:dyDescent="0.25">
      <c r="A62" s="151" t="s">
        <v>285</v>
      </c>
      <c r="B62" s="151"/>
      <c r="C62" s="151"/>
      <c r="D62" s="151"/>
      <c r="J62" s="11" t="str">
        <f ca="1">IF(J60="","",CONCATENATE(D120,IF(D121&gt;"",(s&amp;D121),"")))</f>
        <v>Le variazioni dei ricavi prospettici rispetto al dato corrente dell’esercizio in corso sono state giustificate in maniera adeguata.</v>
      </c>
      <c r="L62" s="179"/>
      <c r="M62" s="15"/>
    </row>
    <row r="63" spans="1:13" ht="50.1" customHeight="1" x14ac:dyDescent="0.25">
      <c r="B63" s="149" t="str">
        <f>+'SEZIONI 3-4'!D3</f>
        <v>Individuazione delle strategie di intervento atte a prevenire e rimuovere le cause della crisi</v>
      </c>
      <c r="C63" s="149"/>
      <c r="D63" s="149"/>
      <c r="J63" s="11" t="str">
        <f ca="1">IF(J60="","",CONCATENATE(D122,IF(D123&gt;"",(s&amp;D123),"")))</f>
        <v>Le variazioni dei ricavi del piano non sono state confrontate con le prospettive del settore.</v>
      </c>
      <c r="L63" s="179"/>
      <c r="M63" s="15"/>
    </row>
    <row r="64" spans="1:13" ht="50.1" customHeight="1" x14ac:dyDescent="0.25">
      <c r="C64" s="130"/>
      <c r="D64" s="15" t="str">
        <f ca="1">+'SEZIONI 3-4'!L4</f>
        <v>Esistono alcune evidenze tali da far presagire uno stato di crisi e o uno squilibrio economico patrimoniale.</v>
      </c>
      <c r="J64" s="11" t="str">
        <f>CONCATENATE(D124,IF(D125&gt;"",(s&amp;D125),""))</f>
        <v xml:space="preserve">La metodologia di stima dei costi variabili correlati ai ricavi e dei costi fissi è la seguente: Indicare la metodologia di stima dei costi variabili e dei costi fissi. </v>
      </c>
      <c r="L64" s="179"/>
      <c r="M64" s="15"/>
    </row>
    <row r="65" spans="3:13" ht="50.1" customHeight="1" x14ac:dyDescent="0.25">
      <c r="C65" s="131" t="str">
        <f ca="1">+'SEZIONI 3-4'!M4</f>
        <v>Specificare</v>
      </c>
      <c r="D65" s="161"/>
      <c r="J65" s="11" t="str">
        <f ca="1">IF(J64="","",CONCATENATE(D126,IF(D127&gt;"",(s&amp;D127),"")))</f>
        <v>La stima dei costi variabili e dei costi di struttura non è coerente con la situazione in atto e con i dati storici.</v>
      </c>
      <c r="L65" s="179"/>
      <c r="M65" s="15"/>
    </row>
    <row r="66" spans="3:13" ht="50.1" customHeight="1" x14ac:dyDescent="0.25">
      <c r="C66" s="130"/>
      <c r="D66" s="15" t="str">
        <f>+'SEZIONI 3-4'!I6</f>
        <v/>
      </c>
      <c r="J66" s="11" t="str">
        <f>IF(J64="","",CONCATENATE(D128,IF(D129&gt;"",(s&amp;D129),"")))</f>
        <v xml:space="preserve">I risparmi dei costi variabili e fissi sono: Indicare i risparmi e come l’imprenditore intende conseguirli.  I possibili rischi che derivano dai risparmi di costo: Indicare i risparmi e come l’imprenditore intende conseguirli. </v>
      </c>
      <c r="L66" s="179"/>
      <c r="M66" s="15"/>
    </row>
    <row r="67" spans="3:13" ht="50.1" customHeight="1" x14ac:dyDescent="0.25">
      <c r="C67" s="131"/>
      <c r="J67" s="11" t="str">
        <f>CONCATENATE(D130,IF(D131&gt;"",(s&amp;D131),""))</f>
        <v xml:space="preserve">La metodologia di stima degli investimenti è la seguente: Indicare la metodologia di stima degli investimenti. </v>
      </c>
      <c r="L67" s="179"/>
      <c r="M67" s="15"/>
    </row>
    <row r="68" spans="3:13" ht="50.1" customHeight="1" x14ac:dyDescent="0.25">
      <c r="C68" s="130"/>
      <c r="D68" s="15" t="str">
        <f>+'SEZIONI 3-4'!I22</f>
        <v>Lo stato di crisi ha causato anomalie:
• da un punto di vista commerciale;</v>
      </c>
      <c r="J68" s="11" t="str">
        <f ca="1">CONCATENATE(D132,IF(D133&gt;"",(s&amp;D133),""))</f>
        <v>La società non svolge più attività.</v>
      </c>
      <c r="L68" s="179"/>
      <c r="M68" s="15"/>
    </row>
    <row r="69" spans="3:13" ht="50.1" customHeight="1" x14ac:dyDescent="0.25">
      <c r="C69" s="131"/>
      <c r="J69" s="11" t="str">
        <f ca="1">IF(J67="","",CONCATENATE(D134,IF(D135&gt;"",(s&amp;D135),"")))</f>
        <v>Il piano non tiene conto in misura adeguata degli investimenti di mantenimento occorrenti.</v>
      </c>
      <c r="L69" s="179"/>
      <c r="M69" s="15"/>
    </row>
    <row r="70" spans="3:13" ht="50.1" customHeight="1" x14ac:dyDescent="0.25">
      <c r="C70" s="130"/>
      <c r="D70" s="15" t="str">
        <f>+'SEZIONI 3-4'!I24</f>
        <v xml:space="preserve">Da un punto di vista commerciale si sono verificati altro (specificare). 
</v>
      </c>
      <c r="J70" s="11" t="str">
        <f>CONCATENATE(D136,IF(D137&gt;"",(s&amp;D137),""))</f>
        <v xml:space="preserve">La metodologia di stima degli effetti delle iniziative industriali che si intendono intraprendere in discontinuità rispetto al passato è la seguente: Indicare la metodologia di stima degli effetti delle iniziative industriali che si intendono intraprendere in discontinuità rispetto al passato. </v>
      </c>
      <c r="L70" s="179"/>
      <c r="M70" s="15"/>
    </row>
    <row r="71" spans="3:13" ht="50.1" customHeight="1" x14ac:dyDescent="0.25">
      <c r="C71" s="131"/>
      <c r="J71" s="11" t="str">
        <f ca="1">+IF(J70="","",CONCATENATE(D138,IF(D139&gt;"",(s&amp;D139),"")))</f>
        <v>La  stima degli effetti di tali iniziative (in termini di investimenti, ricavi e costi) non è coerente con le informazioni disponibili ed è ritenuta giustificata dalle diverse funzioni aziendali.</v>
      </c>
      <c r="L71" s="179"/>
      <c r="M71" s="15"/>
    </row>
    <row r="72" spans="3:13" ht="50.1" customHeight="1" x14ac:dyDescent="0.25">
      <c r="C72" s="130"/>
      <c r="D72" s="15" t="str">
        <f>+'SEZIONI 3-4'!I29</f>
        <v xml:space="preserve">Nei rapporti con le banche sono state rilevate altro (specificare). 
</v>
      </c>
      <c r="J72" s="11" t="str">
        <f ca="1">CONCATENATE(D140,IF(D141&gt;"",(s&amp;D141),""))</f>
        <v>I dati economici prognostici non sono coerenti.</v>
      </c>
      <c r="L72" s="179"/>
      <c r="M72" s="15"/>
    </row>
    <row r="73" spans="3:13" ht="50.1" customHeight="1" x14ac:dyDescent="0.25">
      <c r="C73" s="131"/>
      <c r="J73" s="11" t="str">
        <f ca="1">CONCATENATE(D142,IF(D143&gt;"",(s&amp;D143),""))</f>
        <v>Non è stata svolta una verifica di ragionevolezza della redditività prospettica quale risulta dai paragrafi precedenti.</v>
      </c>
      <c r="L73" s="179"/>
      <c r="M73" s="15"/>
    </row>
    <row r="74" spans="3:13" ht="50.1" customHeight="1" x14ac:dyDescent="0.25">
      <c r="C74" s="130"/>
      <c r="D74" s="15" t="str">
        <f>+'SEZIONI 3-4'!I38</f>
        <v xml:space="preserve">Da un punto di vista gestionale si segnala altro (specificare). 
</v>
      </c>
      <c r="J74" s="11" t="str">
        <f ca="1">CONCATENATE(D144,IF(D145&gt;"",(s&amp;D145),""))</f>
        <v>La redditività ed i principali indicatori chiave gestionali (KPI) prospettici non sono coerenti con l’andamento storico.</v>
      </c>
      <c r="L74" s="179"/>
      <c r="M74" s="15"/>
    </row>
    <row r="75" spans="3:13" ht="50.1" customHeight="1" x14ac:dyDescent="0.25">
      <c r="C75" s="130"/>
      <c r="J75" s="11" t="str">
        <f ca="1">CONCATENATE(D146,IF(D147&gt;"",(s&amp;D147),""))</f>
        <v>Non è giustificata ogni differenza tra l’incidenza del margine operativo lordo sui ricavi ed i benchmark di mercato disponibili.</v>
      </c>
      <c r="L75" s="179"/>
      <c r="M75" s="15"/>
    </row>
    <row r="76" spans="3:13" ht="50.1" customHeight="1" x14ac:dyDescent="0.25">
      <c r="C76" s="130"/>
      <c r="D76" s="15" t="str">
        <f>+'SEZIONI 3-4'!I44</f>
        <v xml:space="preserve">La situazione di difficoltà descritta ha causato un debito da ristrutturare (per mancati pagamenti e/o richieste di rientro) per altro (specificare). 
</v>
      </c>
      <c r="J76" s="11" t="str">
        <f ca="1">CONCATENATE(D148,IF(D149&gt;"",(s&amp;D149),""))</f>
        <v>Non sono previste operazioni straordinarie.</v>
      </c>
      <c r="L76" s="179"/>
      <c r="M76" s="15"/>
    </row>
    <row r="77" spans="3:13" ht="50.1" customHeight="1" x14ac:dyDescent="0.25">
      <c r="C77" s="130"/>
      <c r="J77" s="11" t="str">
        <f ca="1">CONCATENATE(D150,IF(D151&gt;"",(s&amp;D151),""))</f>
        <v>Non è stata prevista la dismissione di cespiti d'investimento.</v>
      </c>
      <c r="L77" s="179"/>
      <c r="M77" s="15"/>
    </row>
    <row r="78" spans="3:13" ht="50.1" customHeight="1" x14ac:dyDescent="0.25">
      <c r="C78" s="130"/>
      <c r="D78" s="15" t="str">
        <f>+'SEZIONI 3-4'!I54</f>
        <v xml:space="preserve">Sul lato delle iniziative dei creditori si segnalano altro (specificare). 
</v>
      </c>
      <c r="J78" s="11" t="str">
        <f ca="1">CONCATENATE(D152,IF(D153&gt;"",(s&amp;D153),""))</f>
        <v>Non è stato stimato il pagamento delle imposte sul reddito.</v>
      </c>
      <c r="L78" s="179"/>
      <c r="M78" s="15"/>
    </row>
    <row r="79" spans="3:13" ht="50.1" customHeight="1" x14ac:dyDescent="0.25">
      <c r="C79" s="130"/>
      <c r="J79" s="11" t="str">
        <f ca="1">IF(J78="","",CONCATENATE(D154,IF(D155&gt;"",(s&amp;D155),"")))</f>
        <v>Nella stima del pagamento delle imposte non si è tenuto conto dell’effetto delle perdite fiscali a nuovo e del periodo di imputazione fiscale dei costi e dei ricavi.</v>
      </c>
      <c r="L79" s="179"/>
      <c r="M79" s="15"/>
    </row>
    <row r="80" spans="3:13" ht="50.1" customHeight="1" x14ac:dyDescent="0.25">
      <c r="C80" s="130"/>
      <c r="D80" s="15" t="str">
        <f>+'SEZIONI 3-4'!I62</f>
        <v>Tenuto conto delle manifestazioni, le cause sono: altro (specificare).</v>
      </c>
      <c r="J80" s="11" t="str">
        <f ca="1">CONCATENATE(D156,IF(D157&gt;"",(s&amp;D157),""))</f>
        <v>Non è presente declinazione finanziaria delle grandezze economiche e determinazione dei flussi al servizio del debito.</v>
      </c>
      <c r="L80" s="179"/>
      <c r="M80" s="15"/>
    </row>
    <row r="81" spans="3:13" ht="50.1" customHeight="1" x14ac:dyDescent="0.25">
      <c r="C81" s="130"/>
      <c r="J81" s="11" t="str">
        <f ca="1">IF(J80="","",CONCATENATE(D158,IF(D159&gt;"",(s&amp;D159),"")))</f>
        <v/>
      </c>
      <c r="L81" s="17">
        <f>+I84</f>
        <v>0</v>
      </c>
      <c r="M81" s="17"/>
    </row>
    <row r="82" spans="3:13" ht="50.1" customHeight="1" x14ac:dyDescent="0.25">
      <c r="C82" s="130"/>
      <c r="D82" s="15" t="str">
        <f ca="1">+'SEZIONI 3-4'!L72</f>
        <v>L’organo di controllo ed il revisore, quando in carica, non ritengono che il quadro fornito dall’imprenditore sia completo e adeguato.</v>
      </c>
      <c r="J82" s="11" t="str">
        <f ca="1">CONCATENATE(D160,IF(D161&gt;"",(s&amp;D161),""))</f>
        <v>L'impresa non ha determinato le grandezze patrimoniali.</v>
      </c>
      <c r="L82" s="179" t="str" cm="1">
        <f t="array" aca="1" ref="L82" ca="1">+CONCATENATE(J85,s,J86,AC,J87,s,J88,AC,J89,AC,J90,AC,J91,AC,J92)</f>
        <v>L’impresa non è in grado in futuro di generare risorse al servizio del debito. Il risultato delle proiezioni finanziarie tende ad essere negativo.
Il piano non tiene conto, anche attraverso prove di resistenza (stress test), dei fattori di rischio e di incertezza ai quali è maggiormente esposta l’impresa. I test effettuati sono coerenti con i rischi emersi ad esito dell’intervista delle diverse funzioni aziendali avendo comunque riguardo alle prospettive di mercato.
La generazione di flussi positivi al servizio del debito non dipende solo dalle iniziative industriali.
Le proposte non consentono, in via prognostica, il rispetto del minimo legale del capitale sociale al momento della conclusione dell’accordo, fatte salve le disposizioni speciali.</v>
      </c>
      <c r="M82" s="15"/>
    </row>
    <row r="83" spans="3:13" ht="50.1" customHeight="1" x14ac:dyDescent="0.25">
      <c r="C83" s="130" t="str">
        <f ca="1">+'SEZIONI 3-4'!M72</f>
        <v>Indicare le ragioni</v>
      </c>
      <c r="D83" s="161"/>
      <c r="J83" s="11" t="str">
        <f ca="1">CONCATENATE(D162,
IF(D163&gt;"",(s&amp;D163),""),s,D164,IF(D165&gt;"",(s&amp;D165),""))</f>
        <v>Su di esse non si innestano le poposte alle parti interessate e non viene calcolata la stima dell’andamento del patrimonio netto al termine dei singoli anni del piano.</v>
      </c>
      <c r="L83" s="179"/>
      <c r="M83" s="15"/>
    </row>
    <row r="84" spans="3:13" ht="50.1" customHeight="1" x14ac:dyDescent="0.25">
      <c r="C84" s="130"/>
      <c r="D84" s="15" t="str">
        <f ca="1">+'SEZIONI 3-4'!L73</f>
        <v>L'impresa non ha ancora individuato le strategie di intervento e le iniziative industriali che intende adottare.</v>
      </c>
      <c r="I84" s="21">
        <f>+'SEZIONI 5-6'!C5</f>
        <v>0</v>
      </c>
      <c r="L84" s="179"/>
      <c r="M84" s="15"/>
    </row>
    <row r="85" spans="3:13" ht="50.1" customHeight="1" x14ac:dyDescent="0.25">
      <c r="C85" s="130" t="str">
        <f ca="1">+'SEZIONI 3-4'!M73</f>
        <v>Indicare le difficoltà che non le consentono la formulazione di una strategia e i tempi previsti.</v>
      </c>
      <c r="D85" s="161"/>
      <c r="J85" s="11" t="str">
        <f ca="1">CONCATENATE(D169,IF(D170&gt;"",(s&amp;D170),""))</f>
        <v>L’impresa non è in grado in futuro di generare risorse al servizio del debito.</v>
      </c>
      <c r="L85" s="179"/>
      <c r="M85" s="15"/>
    </row>
    <row r="86" spans="3:13" ht="50.1" customHeight="1" x14ac:dyDescent="0.25">
      <c r="C86" s="130"/>
      <c r="D86" s="15" t="str">
        <f ca="1">+'SEZIONI 3-4'!L74</f>
        <v>Non esistono strategie di successo adottate dalla concorrenza.</v>
      </c>
      <c r="J86" s="11" t="str">
        <f ca="1">CONCATENATE(D171,IF(D172&gt;"",(s&amp;D172),""))</f>
        <v>Il risultato delle proiezioni finanziarie tende ad essere negativo.</v>
      </c>
      <c r="L86" s="179"/>
      <c r="M86" s="15"/>
    </row>
    <row r="87" spans="3:13" ht="50.1" customHeight="1" x14ac:dyDescent="0.25">
      <c r="C87" s="130" t="str">
        <f ca="1">+'SEZIONI 3-4'!M74</f>
        <v>Indicare le ragioni di tale affermazione</v>
      </c>
      <c r="D87" s="161"/>
      <c r="J87" s="11" t="str">
        <f ca="1">CONCATENATE(D173,IF(D174&gt;"",(s&amp;D174),""))</f>
        <v>Il piano non tiene conto, anche attraverso prove di resistenza (stress test), dei fattori di rischio e di incertezza ai quali è maggiormente esposta l’impresa.</v>
      </c>
      <c r="L87" s="179"/>
      <c r="M87" s="15"/>
    </row>
    <row r="88" spans="3:13" ht="50.1" customHeight="1" x14ac:dyDescent="0.25">
      <c r="C88" s="130"/>
      <c r="D88" s="15" t="str">
        <f ca="1">+'SEZIONI 3-4'!L75</f>
        <v>Tali strategie non sono adottabili dall'impresa.</v>
      </c>
      <c r="J88" s="11" t="str">
        <f ca="1">CONCATENATE(D175,IF(D176&gt;"",(s&amp;D176),""))</f>
        <v>I test effettuati sono coerenti con i rischi emersi ad esito dell’intervista delle diverse funzioni aziendali avendo comunque riguardo alle prospettive di mercato.</v>
      </c>
      <c r="L88" s="179"/>
      <c r="M88" s="15"/>
    </row>
    <row r="89" spans="3:13" ht="50.1" customHeight="1" x14ac:dyDescent="0.25">
      <c r="C89" s="130" t="str">
        <f ca="1">+'SEZIONI 3-4'!M75</f>
        <v>Indicare le motivazioni</v>
      </c>
      <c r="D89" s="161"/>
      <c r="J89" s="11" t="str">
        <f ca="1">CONCATENATE(D177,IF(D178&gt;"",(s&amp;D178),""))</f>
        <v>La generazione di flussi positivi al servizio del debito non dipende solo dalle iniziative industriali.</v>
      </c>
      <c r="L89" s="179"/>
      <c r="M89" s="15"/>
    </row>
    <row r="90" spans="3:13" ht="50.1" customHeight="1" x14ac:dyDescent="0.25">
      <c r="C90" s="130"/>
      <c r="D90" s="15" t="str">
        <f ca="1">+'SEZIONI 3-4'!L76</f>
        <v>L’impresa non dispone delle capacità e delle competenze manageriali per realizzare le iniziative industriali.</v>
      </c>
      <c r="J90" s="11" t="str">
        <f>CONCATENATE(D179,IF(D180&gt;"",(s&amp;D180),""))</f>
        <v/>
      </c>
      <c r="L90" s="179"/>
      <c r="M90" s="15"/>
    </row>
    <row r="91" spans="3:13" ht="50.1" customHeight="1" x14ac:dyDescent="0.25">
      <c r="C91" s="130" t="str">
        <f ca="1">+'SEZIONI 3-4'!M76</f>
        <v>Indicare quali lacune organizzative esistono e come l'impresa intende colmarle</v>
      </c>
      <c r="D91" s="161"/>
      <c r="J91" s="11" t="str">
        <f>CONCATENATE(D181,IF(D182&gt;"",(s&amp;D182),""))</f>
        <v/>
      </c>
      <c r="L91" s="33">
        <f>+I94</f>
        <v>0</v>
      </c>
      <c r="M91" s="33"/>
    </row>
    <row r="92" spans="3:13" ht="50.1" customHeight="1" x14ac:dyDescent="0.25">
      <c r="C92" s="130"/>
      <c r="D92" s="15" t="str">
        <f>+'SEZIONI 3-4'!I77</f>
        <v xml:space="preserve">Per quanto concerne i tempi e gli effetti in termini di ricavi, di costi e di investimenti delle iniziative da adottare Indicare i tempi e i relativi effetti in termini di ricavi, di costi e di invesgtimenti delle iniziative da adottare. </v>
      </c>
      <c r="J92" s="11" t="str">
        <f ca="1">CONCATENATE(D183,IF(D184&gt;"",(s&amp;D184),""))</f>
        <v>Le proposte non consentono, in via prognostica, il rispetto del minimo legale del capitale sociale al momento della conclusione dell’accordo, fatte salve le disposizioni speciali.</v>
      </c>
      <c r="L92" s="178" t="str" cm="1">
        <f t="array" aca="1" ref="L92" ca="1">+CONCATENATE(J95,AC,J96,AC,J97,s,J98,AC,J99,AC,J100)</f>
        <v>Il piano è redatto per le singole imprese.
Il piano non dà evidenza dei rapporti economici, finanziari e patrimoniali infragruppo.
Non vi sono altre imprese del gruppo che presentano difficoltà economico-finanziarie o patrimoniali? 
Le operazioni infragruppo previste nel piano non possono arrecare un pregiudizio per i creditori di un’altra impresa del gruppo.</v>
      </c>
    </row>
    <row r="93" spans="3:13" ht="50.1" customHeight="1" x14ac:dyDescent="0.25">
      <c r="C93" s="130">
        <f>+'SEZIONI 3-4'!M77</f>
        <v>0</v>
      </c>
      <c r="I93" s="21"/>
      <c r="L93" s="178"/>
    </row>
    <row r="94" spans="3:13" ht="50.1" customHeight="1" x14ac:dyDescent="0.25">
      <c r="C94" s="130"/>
      <c r="D94" s="15" t="str">
        <f>+'SEZIONI 3-4'!I79</f>
        <v xml:space="preserve">Le relative funzioni aziendali responsabili sono Indicare quali sono le relative funzioni aziendali responsabili. </v>
      </c>
      <c r="I94" s="21">
        <f>+'SEZIONI 5-6'!C18</f>
        <v>0</v>
      </c>
      <c r="L94" s="178"/>
    </row>
    <row r="95" spans="3:13" ht="50.1" customHeight="1" x14ac:dyDescent="0.25">
      <c r="C95" s="130">
        <f>+'SEZIONI 3-4'!M79</f>
        <v>0</v>
      </c>
      <c r="J95" s="11" t="str">
        <f ca="1">CONCATENATE(D187,IF(D188&gt;"",(s&amp;D188),""))</f>
        <v>Il piano è redatto per le singole imprese.</v>
      </c>
      <c r="L95" s="178"/>
    </row>
    <row r="96" spans="3:13" ht="50.1" customHeight="1" x14ac:dyDescent="0.25">
      <c r="C96" s="130"/>
      <c r="D96" s="15" t="str">
        <f ca="1">+'SEZIONI 3-4'!L81</f>
        <v>Non sono prospettabili iniziative alternative nel caso in cui le iniziative dovessero dimostrarsi inefficaci e si manifestassero scostamenti tra gli obiettivi pianificati e quelli raggiunti.</v>
      </c>
      <c r="I96" s="21"/>
      <c r="J96" s="11" t="str">
        <f ca="1">CONCATENATE(D189,IF(D190&gt;"",(s&amp;D190),""))</f>
        <v>Il piano non dà evidenza dei rapporti economici, finanziari e patrimoniali infragruppo.</v>
      </c>
      <c r="L96" s="178"/>
    </row>
    <row r="97" spans="2:12" ht="50.1" customHeight="1" x14ac:dyDescent="0.25">
      <c r="C97" s="130" t="str">
        <f ca="1">+'SEZIONI 3-4'!M81</f>
        <v>Indicare le ragioni</v>
      </c>
      <c r="D97" s="161"/>
      <c r="I97" s="21"/>
      <c r="J97" s="11" t="str">
        <f ca="1">CONCATENATE(D191,IF(D192&gt;"",(s&amp;D192),""))</f>
        <v>Non vi sono altre imprese del gruppo che presentano difficoltà economico-finanziarie o patrimoniali?</v>
      </c>
      <c r="L97" s="178"/>
    </row>
    <row r="98" spans="2:12" ht="50.1" customHeight="1" x14ac:dyDescent="0.25">
      <c r="C98" s="130"/>
      <c r="D98" s="15" t="str">
        <f ca="1">+'SEZIONI 3-4'!L82</f>
        <v xml:space="preserve"> Non sono mai stati predisposti piani aziendali.</v>
      </c>
      <c r="I98" s="21"/>
      <c r="J98" s="11" t="str">
        <f>CONCATENATE(D193,IF(D194&gt;"",(s&amp;D194),""))</f>
        <v/>
      </c>
      <c r="L98" s="155" t="str">
        <f>'SEZIONI 1-2'!E5</f>
        <v>XXX</v>
      </c>
    </row>
    <row r="99" spans="2:12" ht="50.1" customHeight="1" x14ac:dyDescent="0.25">
      <c r="C99" s="130" t="str">
        <f ca="1">+'SEZIONI 3-4'!M82</f>
        <v>Indicare le motivazioni e le eventuali difficoltà e limiti di prima redazione</v>
      </c>
      <c r="D99" s="161"/>
      <c r="I99" s="21"/>
      <c r="J99" s="11" t="str">
        <f>CONCATENATE(D195,IF(D196&gt;"",(s&amp;D196),""))</f>
        <v/>
      </c>
      <c r="L99" s="35" t="s">
        <v>457</v>
      </c>
    </row>
    <row r="100" spans="2:12" ht="50.1" customHeight="1" x14ac:dyDescent="0.25">
      <c r="C100" s="130"/>
      <c r="D100" s="15" t="str">
        <f ca="1">+'SEZIONI 3-4'!L83</f>
        <v>Il piano non è coerente con i piani redatti in precedenza</v>
      </c>
      <c r="I100" s="21"/>
      <c r="J100" s="11" t="str">
        <f ca="1">CONCATENATE(D197,IF(D198&gt;"",(s&amp;D198),""))</f>
        <v>Le operazioni infragruppo previste nel piano non possono arrecare un pregiudizio per i creditori di un’altra impresa del gruppo.</v>
      </c>
    </row>
    <row r="101" spans="2:12" ht="50.1" customHeight="1" x14ac:dyDescent="0.25">
      <c r="C101" s="130">
        <f ca="1">+'SEZIONI 3-4'!M83</f>
        <v>0</v>
      </c>
    </row>
    <row r="102" spans="2:12" ht="50.1" customHeight="1" x14ac:dyDescent="0.25">
      <c r="C102" s="130"/>
      <c r="D102" s="15" t="str">
        <f ca="1">+'SEZIONI 3-4'!L84</f>
        <v>e non vi sono differenze significative.</v>
      </c>
    </row>
    <row r="103" spans="2:12" ht="50.1" customHeight="1" x14ac:dyDescent="0.25">
      <c r="C103" s="130" t="str">
        <f ca="1">+'SEZIONI 3-4'!M84</f>
        <v>Aggiungere eventuali commenti</v>
      </c>
      <c r="D103" s="161"/>
    </row>
    <row r="104" spans="2:12" ht="50.1" customHeight="1" x14ac:dyDescent="0.25">
      <c r="C104" s="130"/>
      <c r="D104" s="15" t="str">
        <f ca="1">+'SEZIONI 3-4'!L85</f>
        <v>Il piano non appare credibile.</v>
      </c>
    </row>
    <row r="105" spans="2:12" ht="50.1" customHeight="1" x14ac:dyDescent="0.25">
      <c r="C105" s="130" t="str">
        <f ca="1">+'SEZIONI 3-4'!M85</f>
        <v>Indicare le ragioni</v>
      </c>
      <c r="D105" s="161"/>
    </row>
    <row r="106" spans="2:12" ht="50.1" customHeight="1" x14ac:dyDescent="0.25">
      <c r="C106" s="130"/>
      <c r="D106" s="15" t="str">
        <f ca="1">+'SEZIONI 3-4'!L86</f>
        <v>Non è fondato su intenzioni strategiche chiare e razionali, condivisibili da parte di un lettore informato quale è l’esperto, coerenti con la situazione di fatto dell’impresa e del contesto in cui opera.</v>
      </c>
      <c r="I106" s="21"/>
    </row>
    <row r="107" spans="2:12" ht="50.1" customHeight="1" x14ac:dyDescent="0.25">
      <c r="C107" s="130" t="str">
        <f ca="1">+'SEZIONI 3-4'!M86</f>
        <v>Indicare le motivazioni</v>
      </c>
      <c r="D107" s="161"/>
      <c r="I107" s="21"/>
    </row>
    <row r="108" spans="2:12" ht="50.1" customHeight="1" x14ac:dyDescent="0.25">
      <c r="C108" s="130"/>
      <c r="D108" s="15" t="str">
        <f ca="1">+'SEZIONI 3-4'!L87</f>
        <v>Le strategie di intervento e le iniziative industriali individuate dall’imprenditore non appaiono appropriate per il superamento delle cause della crisi.</v>
      </c>
      <c r="I108" s="21"/>
    </row>
    <row r="109" spans="2:12" ht="50.1" customHeight="1" x14ac:dyDescent="0.25">
      <c r="C109" s="130" t="str">
        <f ca="1">+'SEZIONI 3-4'!M87</f>
        <v>Indicare le motivazioni</v>
      </c>
      <c r="D109" s="161"/>
      <c r="I109" s="21"/>
    </row>
    <row r="110" spans="2:12" ht="50.1" customHeight="1" x14ac:dyDescent="0.25">
      <c r="C110" s="130"/>
    </row>
    <row r="111" spans="2:12" ht="50.1" customHeight="1" x14ac:dyDescent="0.25">
      <c r="B111" s="149" t="str">
        <f>+'SEZIONI 3-4'!D89</f>
        <v>Le proiezioni dei flussi finanziari</v>
      </c>
      <c r="C111" s="149"/>
      <c r="D111" s="149"/>
    </row>
    <row r="112" spans="2:12" ht="50.1" customHeight="1" x14ac:dyDescent="0.25">
      <c r="C112" s="130"/>
      <c r="D112" s="15" t="str">
        <f>+'SEZIONI 3-4'!I91</f>
        <v xml:space="preserve">La stima delle proiezioni dei flussi finanziari del piano è l'esito di un percorso che si dipana nelle seguenti fasi successive: altro (specificare). </v>
      </c>
    </row>
    <row r="113" spans="3:6" ht="50.1" customHeight="1" x14ac:dyDescent="0.25">
      <c r="C113" s="130"/>
    </row>
    <row r="114" spans="3:6" ht="50.1" customHeight="1" x14ac:dyDescent="0.25">
      <c r="C114" s="130"/>
      <c r="D114" s="15" t="str">
        <f ca="1">+'SEZIONI 3-4'!L103</f>
        <v>Le proiezioni fondate su previsioni non coprono un periodo massimo di 5 anni.</v>
      </c>
    </row>
    <row r="115" spans="3:6" ht="50.1" customHeight="1" x14ac:dyDescent="0.25">
      <c r="C115" s="130" t="str">
        <f ca="1">+'SEZIONI 3-4'!M103</f>
        <v>Indicare le ragioni dell'arco temporale superiore</v>
      </c>
      <c r="D115" s="161"/>
    </row>
    <row r="116" spans="3:6" ht="50.1" customHeight="1" x14ac:dyDescent="0.25">
      <c r="C116" s="130"/>
      <c r="D116" s="15" t="str" cm="1">
        <f t="array" ref="D116:F116">+'SEZIONI 3-4'!I105:K105</f>
        <v xml:space="preserve">I ricavi sono stati stimati nel seguente modo: Indicare la stima dei ricavi. </v>
      </c>
      <c r="E116" s="22">
        <v>0</v>
      </c>
      <c r="F116" s="22">
        <v>0</v>
      </c>
    </row>
    <row r="117" spans="3:6" ht="50.1" customHeight="1" x14ac:dyDescent="0.25">
      <c r="C117" s="130"/>
    </row>
    <row r="118" spans="3:6" ht="50.1" customHeight="1" x14ac:dyDescent="0.25">
      <c r="C118" s="130"/>
      <c r="D118" s="15" t="str">
        <f ca="1">+'SEZIONI 3-4'!L108</f>
        <v>Le proiezioni dei ricavi non sono coerenti con i dati storici e quelli correnti.</v>
      </c>
    </row>
    <row r="119" spans="3:6" ht="50.1" customHeight="1" x14ac:dyDescent="0.25">
      <c r="C119" s="130" t="str">
        <f ca="1">+'SEZIONI 3-4'!M108</f>
        <v>Aggiungere eventuali commenti</v>
      </c>
      <c r="D119" s="161"/>
    </row>
    <row r="120" spans="3:6" ht="50.1" customHeight="1" x14ac:dyDescent="0.25">
      <c r="C120" s="130"/>
      <c r="D120" s="15" t="str">
        <f ca="1">+'SEZIONI 3-4'!L109</f>
        <v>Le variazioni dei ricavi prospettici rispetto al dato corrente dell’esercizio in corso sono state giustificate in maniera adeguata.</v>
      </c>
    </row>
    <row r="121" spans="3:6" ht="50.1" customHeight="1" x14ac:dyDescent="0.25">
      <c r="C121" s="130" t="str">
        <f ca="1">+'SEZIONI 3-4'!M109</f>
        <v>Giustificarle</v>
      </c>
      <c r="D121" s="161"/>
    </row>
    <row r="122" spans="3:6" ht="50.1" customHeight="1" x14ac:dyDescent="0.25">
      <c r="C122" s="130"/>
      <c r="D122" s="15" t="str">
        <f ca="1">+'SEZIONI 3-4'!L110</f>
        <v>Le variazioni dei ricavi del piano non sono state confrontate con le prospettive del settore.</v>
      </c>
    </row>
    <row r="123" spans="3:6" ht="50.1" customHeight="1" x14ac:dyDescent="0.25">
      <c r="C123" s="130" t="str">
        <f ca="1">+'SEZIONI 3-4'!M110</f>
        <v>Indicare le ragioni</v>
      </c>
      <c r="D123" s="161"/>
    </row>
    <row r="124" spans="3:6" ht="50.1" customHeight="1" x14ac:dyDescent="0.25">
      <c r="C124" s="130"/>
      <c r="D124" s="15" t="str">
        <f>+'SEZIONI 3-4'!I111</f>
        <v xml:space="preserve">La metodologia di stima dei costi variabili correlati ai ricavi e dei costi fissi è la seguente: Indicare la metodologia di stima dei costi variabili e dei costi fissi. </v>
      </c>
    </row>
    <row r="125" spans="3:6" ht="50.1" customHeight="1" x14ac:dyDescent="0.25">
      <c r="C125" s="130"/>
    </row>
    <row r="126" spans="3:6" ht="50.1" customHeight="1" x14ac:dyDescent="0.25">
      <c r="C126" s="130"/>
      <c r="D126" s="15" t="str">
        <f ca="1">+'SEZIONI 3-4'!L114</f>
        <v>La stima dei costi variabili e dei costi di struttura non è coerente con la situazione in atto e con i dati storici.</v>
      </c>
    </row>
    <row r="127" spans="3:6" ht="50.1" customHeight="1" x14ac:dyDescent="0.25">
      <c r="C127" s="130" t="str">
        <f ca="1">+'SEZIONI 3-4'!M114</f>
        <v>Aggiungere eventuali commenti</v>
      </c>
      <c r="D127" s="161"/>
    </row>
    <row r="128" spans="3:6" ht="50.1" customHeight="1" x14ac:dyDescent="0.25">
      <c r="C128" s="130"/>
      <c r="D128" s="15" t="str">
        <f>+'SEZIONI 3-4'!I115</f>
        <v xml:space="preserve">I risparmi dei costi variabili e fissi sono: Indicare i risparmi e come l’imprenditore intende conseguirli.  I possibili rischi che derivano dai risparmi di costo: Indicare i risparmi e come l’imprenditore intende conseguirli. </v>
      </c>
    </row>
    <row r="129" spans="3:4" ht="50.1" customHeight="1" x14ac:dyDescent="0.25">
      <c r="C129" s="130"/>
    </row>
    <row r="130" spans="3:4" ht="50.1" customHeight="1" x14ac:dyDescent="0.25">
      <c r="C130" s="130"/>
      <c r="D130" s="15" t="str">
        <f>+'SEZIONI 3-4'!I119</f>
        <v xml:space="preserve">La metodologia di stima degli investimenti è la seguente: Indicare la metodologia di stima degli investimenti. </v>
      </c>
    </row>
    <row r="131" spans="3:4" ht="50.1" customHeight="1" x14ac:dyDescent="0.25">
      <c r="C131" s="130"/>
    </row>
    <row r="132" spans="3:4" ht="50.1" customHeight="1" x14ac:dyDescent="0.25">
      <c r="C132" s="130"/>
      <c r="D132" s="15" t="str">
        <f ca="1">+'SEZIONI 3-4'!L122</f>
        <v>La società non svolge più attività.</v>
      </c>
    </row>
    <row r="133" spans="3:4" ht="50.1" customHeight="1" x14ac:dyDescent="0.25">
      <c r="C133" s="130" t="str">
        <f ca="1">+'SEZIONI 3-4'!M122</f>
        <v>Aggiungere eventuali commenti</v>
      </c>
      <c r="D133" s="161"/>
    </row>
    <row r="134" spans="3:4" ht="50.1" customHeight="1" x14ac:dyDescent="0.25">
      <c r="C134" s="130"/>
      <c r="D134" s="15" t="str">
        <f ca="1">+'SEZIONI 3-4'!L123</f>
        <v>Il piano non tiene conto in misura adeguata degli investimenti di mantenimento occorrenti.</v>
      </c>
    </row>
    <row r="135" spans="3:4" ht="50.1" customHeight="1" x14ac:dyDescent="0.25">
      <c r="C135" s="130" t="str">
        <f ca="1">+'SEZIONI 3-4'!M123</f>
        <v>Aggiungere eventuali commenti</v>
      </c>
      <c r="D135" s="161"/>
    </row>
    <row r="136" spans="3:4" ht="50.1" customHeight="1" x14ac:dyDescent="0.25">
      <c r="C136" s="130"/>
      <c r="D136" s="15" t="str">
        <f>+'SEZIONI 3-4'!I124</f>
        <v xml:space="preserve">La metodologia di stima degli effetti delle iniziative industriali che si intendono intraprendere in discontinuità rispetto al passato è la seguente: Indicare la metodologia di stima degli effetti delle iniziative industriali che si intendono intraprendere in discontinuità rispetto al passato. </v>
      </c>
    </row>
    <row r="137" spans="3:4" ht="50.1" customHeight="1" x14ac:dyDescent="0.25">
      <c r="C137" s="130"/>
    </row>
    <row r="138" spans="3:4" ht="50.1" customHeight="1" x14ac:dyDescent="0.25">
      <c r="C138" s="130"/>
      <c r="D138" s="15" t="str">
        <f ca="1">+'SEZIONI 3-4'!L126</f>
        <v>La  stima degli effetti di tali iniziative (in termini di investimenti, ricavi e costi) non è coerente con le informazioni disponibili ed è ritenuta giustificata dalle diverse funzioni aziendali.</v>
      </c>
    </row>
    <row r="139" spans="3:4" ht="50.1" customHeight="1" x14ac:dyDescent="0.25">
      <c r="C139" s="130" t="str">
        <f ca="1">+'SEZIONI 3-4'!M126</f>
        <v>Aggiungere eventuali commenti</v>
      </c>
      <c r="D139" s="161"/>
    </row>
    <row r="140" spans="3:4" ht="50.1" customHeight="1" x14ac:dyDescent="0.25">
      <c r="C140" s="130"/>
      <c r="D140" s="15" t="str">
        <f ca="1">+'SEZIONI 3-4'!L127</f>
        <v>I dati economici prognostici non sono coerenti.</v>
      </c>
    </row>
    <row r="141" spans="3:4" ht="50.1" customHeight="1" x14ac:dyDescent="0.25">
      <c r="C141" s="130" t="str">
        <f ca="1">+'SEZIONI 3-4'!M127</f>
        <v>Aggiungere eventuali commenti</v>
      </c>
      <c r="D141" s="161"/>
    </row>
    <row r="142" spans="3:4" ht="50.1" customHeight="1" x14ac:dyDescent="0.25">
      <c r="C142" s="130"/>
      <c r="D142" s="15" t="str">
        <f ca="1">+'SEZIONI 3-4'!L128</f>
        <v>Non è stata svolta una verifica di ragionevolezza della redditività prospettica quale risulta dai paragrafi precedenti.</v>
      </c>
    </row>
    <row r="143" spans="3:4" ht="50.1" customHeight="1" x14ac:dyDescent="0.25">
      <c r="C143" s="130" t="str">
        <f ca="1">+'SEZIONI 3-4'!M128</f>
        <v>Indicare le motivazioni</v>
      </c>
      <c r="D143" s="161"/>
    </row>
    <row r="144" spans="3:4" ht="50.1" customHeight="1" x14ac:dyDescent="0.25">
      <c r="C144" s="130"/>
      <c r="D144" s="15" t="str">
        <f ca="1">+'SEZIONI 3-4'!L129</f>
        <v>La redditività ed i principali indicatori chiave gestionali (KPI) prospettici non sono coerenti con l’andamento storico.</v>
      </c>
    </row>
    <row r="145" spans="3:4" ht="50.1" customHeight="1" x14ac:dyDescent="0.25">
      <c r="C145" s="130" t="str">
        <f ca="1">+'SEZIONI 3-4'!M129</f>
        <v>Indicare le motivazioni</v>
      </c>
      <c r="D145" s="161"/>
    </row>
    <row r="146" spans="3:4" ht="50.1" customHeight="1" x14ac:dyDescent="0.25">
      <c r="C146" s="130"/>
      <c r="D146" s="15" t="str">
        <f ca="1">+'SEZIONI 3-4'!L130</f>
        <v>Non è giustificata ogni differenza tra l’incidenza del margine operativo lordo sui ricavi ed i benchmark di mercato disponibili.</v>
      </c>
    </row>
    <row r="147" spans="3:4" ht="50.1" customHeight="1" x14ac:dyDescent="0.25">
      <c r="C147" s="130" t="str">
        <f ca="1">+'SEZIONI 3-4'!M130</f>
        <v>Indicare le motivazioni</v>
      </c>
      <c r="D147" s="161"/>
    </row>
    <row r="148" spans="3:4" ht="50.1" customHeight="1" x14ac:dyDescent="0.25">
      <c r="C148" s="130"/>
      <c r="D148" s="15" t="str">
        <f ca="1">+'SEZIONI 3-4'!L131</f>
        <v>Non sono previste operazioni straordinarie.</v>
      </c>
    </row>
    <row r="149" spans="3:4" ht="50.1" customHeight="1" x14ac:dyDescent="0.25">
      <c r="C149" s="130" t="str">
        <f ca="1">+'SEZIONI 3-4'!M131</f>
        <v>Aggiungere eventuali commenti</v>
      </c>
      <c r="D149" s="161"/>
    </row>
    <row r="150" spans="3:4" ht="50.1" customHeight="1" x14ac:dyDescent="0.25">
      <c r="C150" s="130"/>
      <c r="D150" s="15" t="str">
        <f ca="1">+'SEZIONI 3-4'!L132</f>
        <v>Non è stata prevista la dismissione di cespiti d'investimento.</v>
      </c>
    </row>
    <row r="151" spans="3:4" ht="50.1" customHeight="1" x14ac:dyDescent="0.25">
      <c r="C151" s="130" t="str">
        <f ca="1">+'SEZIONI 3-4'!M132</f>
        <v>Aggiungere eventuali commenti</v>
      </c>
      <c r="D151" s="161"/>
    </row>
    <row r="152" spans="3:4" ht="50.1" customHeight="1" x14ac:dyDescent="0.25">
      <c r="C152" s="130"/>
      <c r="D152" s="15" t="str">
        <f ca="1">+'SEZIONI 3-4'!L133</f>
        <v>Non è stato stimato il pagamento delle imposte sul reddito.</v>
      </c>
    </row>
    <row r="153" spans="3:4" ht="50.1" customHeight="1" x14ac:dyDescent="0.25">
      <c r="C153" s="130" t="str">
        <f ca="1">+'SEZIONI 3-4'!M133</f>
        <v>Aggiungere eventuali commenti</v>
      </c>
      <c r="D153" s="161"/>
    </row>
    <row r="154" spans="3:4" ht="50.1" customHeight="1" x14ac:dyDescent="0.25">
      <c r="C154" s="130"/>
      <c r="D154" s="15" t="str">
        <f ca="1">+'SEZIONI 3-4'!L134</f>
        <v>Nella stima del pagamento delle imposte non si è tenuto conto dell’effetto delle perdite fiscali a nuovo e del periodo di imputazione fiscale dei costi e dei ricavi.</v>
      </c>
    </row>
    <row r="155" spans="3:4" ht="50.1" customHeight="1" x14ac:dyDescent="0.25">
      <c r="C155" s="130" t="str">
        <f ca="1">+'SEZIONI 3-4'!M134</f>
        <v>Aggiungere eventuali commenti</v>
      </c>
      <c r="D155" s="161"/>
    </row>
    <row r="156" spans="3:4" ht="50.1" customHeight="1" x14ac:dyDescent="0.25">
      <c r="C156" s="130"/>
      <c r="D156" s="15" t="str">
        <f ca="1">+'SEZIONI 3-4'!L135</f>
        <v>Non è presente declinazione finanziaria delle grandezze economiche e determinazione dei flussi al servizio del debito.</v>
      </c>
    </row>
    <row r="157" spans="3:4" ht="50.1" customHeight="1" x14ac:dyDescent="0.25">
      <c r="C157" s="130" t="str">
        <f ca="1">+'SEZIONI 3-4'!M135</f>
        <v>Aggiungere eventuali commenti</v>
      </c>
      <c r="D157" s="161"/>
    </row>
    <row r="158" spans="3:4" ht="50.1" customHeight="1" x14ac:dyDescent="0.25">
      <c r="C158" s="130"/>
      <c r="D158" s="15" t="str">
        <f>+'SEZIONI 3-4'!I137</f>
        <v/>
      </c>
    </row>
    <row r="159" spans="3:4" ht="50.1" customHeight="1" x14ac:dyDescent="0.25">
      <c r="C159" s="130"/>
    </row>
    <row r="160" spans="3:4" ht="50.1" customHeight="1" x14ac:dyDescent="0.25">
      <c r="C160" s="130"/>
      <c r="D160" s="15" t="str">
        <f ca="1">+'SEZIONI 3-4'!L149</f>
        <v>L'impresa non ha determinato le grandezze patrimoniali.</v>
      </c>
    </row>
    <row r="161" spans="1:4" ht="50.1" customHeight="1" x14ac:dyDescent="0.25">
      <c r="C161" s="130" t="str">
        <f ca="1">+'SEZIONI 3-4'!M149</f>
        <v>Aggiungere eventuali commenti</v>
      </c>
      <c r="D161" s="161"/>
    </row>
    <row r="162" spans="1:4" ht="50.1" customHeight="1" x14ac:dyDescent="0.25">
      <c r="C162" s="130"/>
      <c r="D162" s="15" t="str">
        <f ca="1">+'SEZIONI 3-4'!L150</f>
        <v>Su di esse non si innestano le poposte alle parti interessate</v>
      </c>
    </row>
    <row r="163" spans="1:4" ht="50.1" customHeight="1" x14ac:dyDescent="0.25">
      <c r="C163" s="130">
        <f ca="1">+'SEZIONI 3-4'!M150</f>
        <v>0</v>
      </c>
      <c r="D163" s="31"/>
    </row>
    <row r="164" spans="1:4" ht="50.1" customHeight="1" x14ac:dyDescent="0.25">
      <c r="C164" s="130"/>
      <c r="D164" s="15" t="str">
        <f ca="1">+'SEZIONI 3-4'!L151</f>
        <v>e non viene calcolata la stima dell’andamento del patrimonio netto al termine dei singoli anni del piano.</v>
      </c>
    </row>
    <row r="165" spans="1:4" ht="50.1" customHeight="1" x14ac:dyDescent="0.25">
      <c r="C165" s="130" t="str">
        <f ca="1">+'SEZIONI 3-4'!M151</f>
        <v>Aggiungere eventuali commenti</v>
      </c>
      <c r="D165" s="161"/>
    </row>
    <row r="166" spans="1:4" ht="50.1" customHeight="1" x14ac:dyDescent="0.25">
      <c r="C166" s="130"/>
    </row>
    <row r="167" spans="1:4" ht="50.1" customHeight="1" x14ac:dyDescent="0.25">
      <c r="A167" s="151" t="s">
        <v>288</v>
      </c>
      <c r="B167" s="151"/>
      <c r="C167" s="151"/>
      <c r="D167" s="151"/>
    </row>
    <row r="168" spans="1:4" ht="50.1" customHeight="1" x14ac:dyDescent="0.25">
      <c r="B168" s="149" t="str">
        <f>+'SEZIONI 5-6'!D5</f>
        <v>Il risanamento del debito</v>
      </c>
      <c r="C168" s="149"/>
      <c r="D168" s="149"/>
    </row>
    <row r="169" spans="1:4" ht="50.1" customHeight="1" x14ac:dyDescent="0.25">
      <c r="C169" s="130"/>
      <c r="D169" s="15" t="str">
        <f ca="1">+'SEZIONI 5-6'!L6</f>
        <v>L’impresa non è in grado in futuro di generare risorse al servizio del debito.</v>
      </c>
    </row>
    <row r="170" spans="1:4" ht="50.1" customHeight="1" x14ac:dyDescent="0.25">
      <c r="C170" s="132" t="str">
        <f ca="1">+'SEZIONI 5-6'!L6</f>
        <v>L’impresa non è in grado in futuro di generare risorse al servizio del debito.</v>
      </c>
      <c r="D170" s="161"/>
    </row>
    <row r="171" spans="1:4" ht="50.1" customHeight="1" x14ac:dyDescent="0.25">
      <c r="C171" s="130"/>
      <c r="D171" s="15" t="str">
        <f ca="1">+'SEZIONI 5-6'!L7</f>
        <v>Il risultato delle proiezioni finanziarie tende ad essere negativo.</v>
      </c>
    </row>
    <row r="172" spans="1:4" ht="50.1" customHeight="1" x14ac:dyDescent="0.25">
      <c r="C172" s="132" t="str">
        <f ca="1">+'SEZIONI 5-6'!L7</f>
        <v>Il risultato delle proiezioni finanziarie tende ad essere negativo.</v>
      </c>
      <c r="D172" s="161"/>
    </row>
    <row r="173" spans="1:4" ht="50.1" customHeight="1" x14ac:dyDescent="0.25">
      <c r="C173" s="130"/>
      <c r="D173" s="15" t="str">
        <f ca="1">+'SEZIONI 5-6'!L8</f>
        <v>Il piano non tiene conto, anche attraverso prove di resistenza (stress test), dei fattori di rischio e di incertezza ai quali è maggiormente esposta l’impresa.</v>
      </c>
    </row>
    <row r="174" spans="1:4" ht="50.1" customHeight="1" x14ac:dyDescent="0.25">
      <c r="C174" s="132" t="str">
        <f ca="1">+'SEZIONI 5-6'!L8</f>
        <v>Il piano non tiene conto, anche attraverso prove di resistenza (stress test), dei fattori di rischio e di incertezza ai quali è maggiormente esposta l’impresa.</v>
      </c>
      <c r="D174" s="161"/>
    </row>
    <row r="175" spans="1:4" ht="50.1" customHeight="1" x14ac:dyDescent="0.25">
      <c r="C175" s="130"/>
      <c r="D175" s="15" t="str">
        <f ca="1">+'SEZIONI 5-6'!L9</f>
        <v>I test effettuati sono coerenti con i rischi emersi ad esito dell’intervista delle diverse funzioni aziendali avendo comunque riguardo alle prospettive di mercato.</v>
      </c>
    </row>
    <row r="176" spans="1:4" ht="50.1" customHeight="1" x14ac:dyDescent="0.25">
      <c r="C176" s="132" t="str">
        <f ca="1">+'SEZIONI 5-6'!L9</f>
        <v>I test effettuati sono coerenti con i rischi emersi ad esito dell’intervista delle diverse funzioni aziendali avendo comunque riguardo alle prospettive di mercato.</v>
      </c>
      <c r="D176" s="161"/>
    </row>
    <row r="177" spans="2:4" ht="50.1" customHeight="1" x14ac:dyDescent="0.25">
      <c r="C177" s="130"/>
      <c r="D177" s="15" t="str">
        <f ca="1">+'SEZIONI 5-6'!L10</f>
        <v>La generazione di flussi positivi al servizio del debito non dipende solo dalle iniziative industriali.</v>
      </c>
    </row>
    <row r="178" spans="2:4" ht="50.1" customHeight="1" x14ac:dyDescent="0.25">
      <c r="C178" s="132" t="str">
        <f ca="1">+'SEZIONI 5-6'!L10</f>
        <v>La generazione di flussi positivi al servizio del debito non dipende solo dalle iniziative industriali.</v>
      </c>
      <c r="D178" s="161"/>
    </row>
    <row r="179" spans="2:4" ht="50.1" customHeight="1" x14ac:dyDescent="0.25">
      <c r="C179" s="130"/>
      <c r="D179" s="15" t="str">
        <f>+'SEZIONI 5-6'!I11</f>
        <v/>
      </c>
    </row>
    <row r="180" spans="2:4" ht="50.1" customHeight="1" x14ac:dyDescent="0.25">
      <c r="C180" s="130"/>
    </row>
    <row r="181" spans="2:4" ht="50.1" customHeight="1" x14ac:dyDescent="0.25">
      <c r="C181" s="130"/>
      <c r="D181" s="15" t="str">
        <f>+'SEZIONI 5-6'!I13</f>
        <v/>
      </c>
    </row>
    <row r="182" spans="2:4" ht="50.1" customHeight="1" x14ac:dyDescent="0.25">
      <c r="C182" s="130"/>
    </row>
    <row r="183" spans="2:4" ht="50.1" customHeight="1" x14ac:dyDescent="0.25">
      <c r="C183" s="130"/>
      <c r="D183" s="15" t="str">
        <f ca="1">+'SEZIONI 5-6'!L16</f>
        <v>Le proposte non consentono, in via prognostica, il rispetto del minimo legale del capitale sociale al momento della conclusione dell’accordo, fatte salve le disposizioni speciali.</v>
      </c>
    </row>
    <row r="184" spans="2:4" ht="50.1" customHeight="1" x14ac:dyDescent="0.25">
      <c r="C184" s="130" t="str">
        <f ca="1">+'SEZIONI 5-6'!M16</f>
        <v>Aggiungere eventuali commenti</v>
      </c>
      <c r="D184" s="161"/>
    </row>
    <row r="185" spans="2:4" ht="50.1" customHeight="1" x14ac:dyDescent="0.25">
      <c r="C185" s="130"/>
    </row>
    <row r="186" spans="2:4" ht="50.1" customHeight="1" x14ac:dyDescent="0.25">
      <c r="B186" s="149" t="str">
        <f>+'SEZIONI 5-6'!D18</f>
        <v>In caso di gruppi di imprese</v>
      </c>
      <c r="C186" s="149"/>
      <c r="D186" s="149"/>
    </row>
    <row r="187" spans="2:4" ht="50.1" customHeight="1" x14ac:dyDescent="0.25">
      <c r="C187" s="130"/>
      <c r="D187" s="15" t="str">
        <f ca="1">+'SEZIONI 5-6'!L19</f>
        <v>Il piano è redatto per le singole imprese.</v>
      </c>
    </row>
    <row r="188" spans="2:4" ht="50.1" customHeight="1" x14ac:dyDescent="0.25">
      <c r="C188" s="130" t="str">
        <f ca="1">+'SEZIONI 5-6'!M19</f>
        <v>Aggiungere eventuali commenti</v>
      </c>
      <c r="D188" s="161"/>
    </row>
    <row r="189" spans="2:4" ht="50.1" customHeight="1" x14ac:dyDescent="0.25">
      <c r="C189" s="130"/>
      <c r="D189" s="15" t="str">
        <f ca="1">+'SEZIONI 5-6'!L20</f>
        <v>Il piano non dà evidenza dei rapporti economici, finanziari e patrimoniali infragruppo.</v>
      </c>
    </row>
    <row r="190" spans="2:4" ht="50.1" customHeight="1" x14ac:dyDescent="0.25">
      <c r="C190" s="130" t="str">
        <f ca="1">+'SEZIONI 5-6'!M20</f>
        <v>Aggiungere eventuali commenti</v>
      </c>
      <c r="D190" s="161"/>
    </row>
    <row r="191" spans="2:4" ht="50.1" customHeight="1" x14ac:dyDescent="0.25">
      <c r="C191" s="130"/>
      <c r="D191" s="15" t="str">
        <f ca="1">+'SEZIONI 5-6'!L21</f>
        <v>Non vi sono altre imprese del gruppo che presentano difficoltà economico-finanziarie o patrimoniali?</v>
      </c>
    </row>
    <row r="192" spans="2:4" ht="50.1" customHeight="1" x14ac:dyDescent="0.25">
      <c r="C192" s="130" t="str">
        <f ca="1">+'SEZIONI 5-6'!M21</f>
        <v>Aggiungere eventuali commenti</v>
      </c>
      <c r="D192" s="161"/>
    </row>
    <row r="193" spans="3:4" ht="50.1" customHeight="1" x14ac:dyDescent="0.25">
      <c r="C193" s="130"/>
      <c r="D193" s="15" t="str">
        <f>+'SEZIONI 5-6'!I22</f>
        <v/>
      </c>
    </row>
    <row r="194" spans="3:4" ht="50.1" customHeight="1" x14ac:dyDescent="0.25">
      <c r="C194" s="130"/>
    </row>
    <row r="195" spans="3:4" ht="50.1" customHeight="1" x14ac:dyDescent="0.25">
      <c r="C195" s="130"/>
      <c r="D195" s="15" t="str">
        <f>+'SEZIONI 5-6'!I24</f>
        <v/>
      </c>
    </row>
    <row r="196" spans="3:4" ht="50.1" customHeight="1" x14ac:dyDescent="0.25">
      <c r="C196" s="130"/>
    </row>
    <row r="197" spans="3:4" ht="46.5" customHeight="1" x14ac:dyDescent="0.25">
      <c r="C197" s="130"/>
      <c r="D197" s="15" t="str">
        <f ca="1">+'SEZIONI 5-6'!L26</f>
        <v>Le operazioni infragruppo previste nel piano non possono arrecare un pregiudizio per i creditori di un’altra impresa del gruppo.</v>
      </c>
    </row>
    <row r="198" spans="3:4" ht="46.5" customHeight="1" x14ac:dyDescent="0.25">
      <c r="C198" s="130" t="str">
        <f ca="1">+'SEZIONI 5-6'!M26</f>
        <v>Aggiungere eventuali commenti</v>
      </c>
      <c r="D198" s="161"/>
    </row>
    <row r="199" spans="3:4" ht="46.5" customHeight="1" x14ac:dyDescent="0.25">
      <c r="C199" s="130"/>
      <c r="D199" s="21"/>
    </row>
    <row r="200" spans="3:4" ht="46.5" customHeight="1" x14ac:dyDescent="0.25">
      <c r="C200" s="130"/>
    </row>
    <row r="201" spans="3:4" ht="46.5" customHeight="1" x14ac:dyDescent="0.25">
      <c r="C201" s="130"/>
    </row>
    <row r="202" spans="3:4" ht="46.5" customHeight="1" x14ac:dyDescent="0.25">
      <c r="C202" s="130"/>
    </row>
    <row r="203" spans="3:4" ht="46.5" customHeight="1" x14ac:dyDescent="0.25">
      <c r="C203" s="130"/>
    </row>
    <row r="204" spans="3:4" ht="46.5" customHeight="1" x14ac:dyDescent="0.25"/>
    <row r="205" spans="3:4" ht="46.5" customHeight="1" x14ac:dyDescent="0.25"/>
    <row r="206" spans="3:4" ht="46.5" customHeight="1" x14ac:dyDescent="0.25"/>
    <row r="207" spans="3:4" ht="46.5" customHeight="1" x14ac:dyDescent="0.25"/>
    <row r="208" spans="3:4" ht="46.5" customHeight="1" x14ac:dyDescent="0.25"/>
    <row r="209" ht="46.5" customHeight="1" x14ac:dyDescent="0.25"/>
    <row r="210" ht="46.5" customHeight="1" x14ac:dyDescent="0.25"/>
    <row r="211" ht="46.5" customHeight="1" x14ac:dyDescent="0.25"/>
    <row r="212" ht="46.5" customHeight="1" x14ac:dyDescent="0.25"/>
    <row r="213" ht="46.5" customHeight="1" x14ac:dyDescent="0.25"/>
    <row r="214" ht="46.5" customHeight="1" x14ac:dyDescent="0.25"/>
    <row r="215" ht="46.5" customHeight="1" x14ac:dyDescent="0.25"/>
  </sheetData>
  <sheetProtection algorithmName="SHA-512" hashValue="H5QcC50RI+e5T8OWiw2w7QyhBCxPx0yfOdoyo3yAUp/HOJKrsrQnA6RQisFS2XlxFErtXD02kIOLFQP3jxiVMA==" saltValue="+Th0bjHUdqtwdifqaen/RQ==" spinCount="100000" sheet="1" objects="1" scenarios="1" selectLockedCells="1"/>
  <mergeCells count="6">
    <mergeCell ref="L92:L97"/>
    <mergeCell ref="L6:L14"/>
    <mergeCell ref="L16:L28"/>
    <mergeCell ref="L30:L53"/>
    <mergeCell ref="L55:L80"/>
    <mergeCell ref="L82:L90"/>
  </mergeCells>
  <conditionalFormatting sqref="D1">
    <cfRule type="expression" dxfId="72" priority="376">
      <formula>$C2&gt;""</formula>
    </cfRule>
  </conditionalFormatting>
  <conditionalFormatting sqref="D3 D64 D66:D82 D84 D86 D88 D90 D92:D96 D98 D100:D102 D104 D106 D108 D110 D112:D114 D116:D118 D120 D122 D124:D126 D128:D132 D134 D136:D138 D140 D142 D144 D146 D148 D150 D152 D154 D156 D158:D160 D162:D164 D169 D171 D173 D175 D177 D179:D183 D185 D187 D189 D191 D193:D197">
    <cfRule type="expression" dxfId="71" priority="72">
      <formula>$C3&gt;""</formula>
    </cfRule>
  </conditionalFormatting>
  <conditionalFormatting sqref="D6 D8 D10 D12 D14 D16 D18:D20 D22 D24 D27 D29 D31 D33:D35 D37 D39 D41 D43 D45 D47:D49 D51 D53 D55 D59:D60">
    <cfRule type="expression" dxfId="70" priority="73">
      <formula>$C6&gt;""</formula>
    </cfRule>
  </conditionalFormatting>
  <conditionalFormatting sqref="D7">
    <cfRule type="cellIs" dxfId="69" priority="63" stopIfTrue="1" operator="lessThan">
      <formula>#REF!</formula>
    </cfRule>
  </conditionalFormatting>
  <conditionalFormatting sqref="D9">
    <cfRule type="cellIs" dxfId="68" priority="62" stopIfTrue="1" operator="lessThan">
      <formula>#REF!</formula>
    </cfRule>
  </conditionalFormatting>
  <conditionalFormatting sqref="D11">
    <cfRule type="cellIs" dxfId="67" priority="61" stopIfTrue="1" operator="lessThan">
      <formula>#REF!</formula>
    </cfRule>
  </conditionalFormatting>
  <conditionalFormatting sqref="D13">
    <cfRule type="cellIs" dxfId="66" priority="60" stopIfTrue="1" operator="lessThan">
      <formula>#REF!</formula>
    </cfRule>
  </conditionalFormatting>
  <conditionalFormatting sqref="D15">
    <cfRule type="cellIs" dxfId="65" priority="59" stopIfTrue="1" operator="lessThan">
      <formula>#REF!</formula>
    </cfRule>
  </conditionalFormatting>
  <conditionalFormatting sqref="D17">
    <cfRule type="cellIs" dxfId="64" priority="58" stopIfTrue="1" operator="lessThan">
      <formula>#REF!</formula>
    </cfRule>
  </conditionalFormatting>
  <conditionalFormatting sqref="D21">
    <cfRule type="cellIs" dxfId="63" priority="57" stopIfTrue="1" operator="lessThan">
      <formula>#REF!</formula>
    </cfRule>
  </conditionalFormatting>
  <conditionalFormatting sqref="D23">
    <cfRule type="cellIs" dxfId="62" priority="56" stopIfTrue="1" operator="lessThan">
      <formula>#REF!</formula>
    </cfRule>
  </conditionalFormatting>
  <conditionalFormatting sqref="D25">
    <cfRule type="cellIs" dxfId="61" priority="55" stopIfTrue="1" operator="lessThan">
      <formula>#REF!</formula>
    </cfRule>
  </conditionalFormatting>
  <conditionalFormatting sqref="D28">
    <cfRule type="cellIs" dxfId="60" priority="54" stopIfTrue="1" operator="lessThan">
      <formula>#REF!</formula>
    </cfRule>
  </conditionalFormatting>
  <conditionalFormatting sqref="D30">
    <cfRule type="cellIs" dxfId="59" priority="53" stopIfTrue="1" operator="lessThan">
      <formula>#REF!</formula>
    </cfRule>
  </conditionalFormatting>
  <conditionalFormatting sqref="D32">
    <cfRule type="cellIs" dxfId="58" priority="52" stopIfTrue="1" operator="lessThan">
      <formula>#REF!</formula>
    </cfRule>
  </conditionalFormatting>
  <conditionalFormatting sqref="D36">
    <cfRule type="cellIs" dxfId="57" priority="51" stopIfTrue="1" operator="lessThan">
      <formula>#REF!</formula>
    </cfRule>
  </conditionalFormatting>
  <conditionalFormatting sqref="D38">
    <cfRule type="cellIs" dxfId="56" priority="50" stopIfTrue="1" operator="lessThan">
      <formula>#REF!</formula>
    </cfRule>
  </conditionalFormatting>
  <conditionalFormatting sqref="D40">
    <cfRule type="cellIs" dxfId="55" priority="49" stopIfTrue="1" operator="lessThan">
      <formula>#REF!</formula>
    </cfRule>
  </conditionalFormatting>
  <conditionalFormatting sqref="D42">
    <cfRule type="cellIs" dxfId="54" priority="48" stopIfTrue="1" operator="lessThan">
      <formula>#REF!</formula>
    </cfRule>
  </conditionalFormatting>
  <conditionalFormatting sqref="D44">
    <cfRule type="cellIs" dxfId="53" priority="47" stopIfTrue="1" operator="lessThan">
      <formula>#REF!</formula>
    </cfRule>
  </conditionalFormatting>
  <conditionalFormatting sqref="D46">
    <cfRule type="cellIs" dxfId="52" priority="46" stopIfTrue="1" operator="lessThan">
      <formula>#REF!</formula>
    </cfRule>
  </conditionalFormatting>
  <conditionalFormatting sqref="D50">
    <cfRule type="cellIs" dxfId="51" priority="45" stopIfTrue="1" operator="lessThan">
      <formula>#REF!</formula>
    </cfRule>
  </conditionalFormatting>
  <conditionalFormatting sqref="D52">
    <cfRule type="cellIs" dxfId="50" priority="44" stopIfTrue="1" operator="lessThan">
      <formula>#REF!</formula>
    </cfRule>
  </conditionalFormatting>
  <conditionalFormatting sqref="D54">
    <cfRule type="cellIs" dxfId="49" priority="43" stopIfTrue="1" operator="lessThan">
      <formula>#REF!</formula>
    </cfRule>
  </conditionalFormatting>
  <conditionalFormatting sqref="D56">
    <cfRule type="cellIs" dxfId="48" priority="42" stopIfTrue="1" operator="lessThan">
      <formula>#REF!</formula>
    </cfRule>
  </conditionalFormatting>
  <conditionalFormatting sqref="D65">
    <cfRule type="cellIs" dxfId="47" priority="41" stopIfTrue="1" operator="lessThan">
      <formula>#REF!</formula>
    </cfRule>
  </conditionalFormatting>
  <conditionalFormatting sqref="D83">
    <cfRule type="cellIs" dxfId="46" priority="40" stopIfTrue="1" operator="lessThan">
      <formula>#REF!</formula>
    </cfRule>
  </conditionalFormatting>
  <conditionalFormatting sqref="D85">
    <cfRule type="cellIs" dxfId="45" priority="39" stopIfTrue="1" operator="lessThan">
      <formula>#REF!</formula>
    </cfRule>
  </conditionalFormatting>
  <conditionalFormatting sqref="D87">
    <cfRule type="cellIs" dxfId="44" priority="38" stopIfTrue="1" operator="lessThan">
      <formula>#REF!</formula>
    </cfRule>
  </conditionalFormatting>
  <conditionalFormatting sqref="D89">
    <cfRule type="cellIs" dxfId="43" priority="37" stopIfTrue="1" operator="lessThan">
      <formula>#REF!</formula>
    </cfRule>
  </conditionalFormatting>
  <conditionalFormatting sqref="D91">
    <cfRule type="cellIs" dxfId="42" priority="36" stopIfTrue="1" operator="lessThan">
      <formula>#REF!</formula>
    </cfRule>
  </conditionalFormatting>
  <conditionalFormatting sqref="D97">
    <cfRule type="cellIs" dxfId="41" priority="35" stopIfTrue="1" operator="lessThan">
      <formula>#REF!</formula>
    </cfRule>
  </conditionalFormatting>
  <conditionalFormatting sqref="D99">
    <cfRule type="cellIs" dxfId="40" priority="34" stopIfTrue="1" operator="lessThan">
      <formula>#REF!</formula>
    </cfRule>
  </conditionalFormatting>
  <conditionalFormatting sqref="D103">
    <cfRule type="cellIs" dxfId="39" priority="33" stopIfTrue="1" operator="lessThan">
      <formula>#REF!</formula>
    </cfRule>
  </conditionalFormatting>
  <conditionalFormatting sqref="D105">
    <cfRule type="cellIs" dxfId="38" priority="32" stopIfTrue="1" operator="lessThan">
      <formula>#REF!</formula>
    </cfRule>
  </conditionalFormatting>
  <conditionalFormatting sqref="D107">
    <cfRule type="cellIs" dxfId="37" priority="31" stopIfTrue="1" operator="lessThan">
      <formula>#REF!</formula>
    </cfRule>
  </conditionalFormatting>
  <conditionalFormatting sqref="D109">
    <cfRule type="cellIs" dxfId="36" priority="30" stopIfTrue="1" operator="lessThan">
      <formula>#REF!</formula>
    </cfRule>
  </conditionalFormatting>
  <conditionalFormatting sqref="D115">
    <cfRule type="cellIs" dxfId="35" priority="29" stopIfTrue="1" operator="lessThan">
      <formula>#REF!</formula>
    </cfRule>
  </conditionalFormatting>
  <conditionalFormatting sqref="D119">
    <cfRule type="cellIs" dxfId="34" priority="28" stopIfTrue="1" operator="lessThan">
      <formula>#REF!</formula>
    </cfRule>
  </conditionalFormatting>
  <conditionalFormatting sqref="D121">
    <cfRule type="cellIs" dxfId="33" priority="27" stopIfTrue="1" operator="lessThan">
      <formula>#REF!</formula>
    </cfRule>
  </conditionalFormatting>
  <conditionalFormatting sqref="D123">
    <cfRule type="cellIs" dxfId="32" priority="26" stopIfTrue="1" operator="lessThan">
      <formula>#REF!</formula>
    </cfRule>
  </conditionalFormatting>
  <conditionalFormatting sqref="D127">
    <cfRule type="cellIs" dxfId="31" priority="25" stopIfTrue="1" operator="lessThan">
      <formula>#REF!</formula>
    </cfRule>
  </conditionalFormatting>
  <conditionalFormatting sqref="D133">
    <cfRule type="cellIs" dxfId="30" priority="24" stopIfTrue="1" operator="lessThan">
      <formula>#REF!</formula>
    </cfRule>
  </conditionalFormatting>
  <conditionalFormatting sqref="D135">
    <cfRule type="cellIs" dxfId="29" priority="23" stopIfTrue="1" operator="lessThan">
      <formula>#REF!</formula>
    </cfRule>
  </conditionalFormatting>
  <conditionalFormatting sqref="D139">
    <cfRule type="cellIs" dxfId="28" priority="22" stopIfTrue="1" operator="lessThan">
      <formula>#REF!</formula>
    </cfRule>
  </conditionalFormatting>
  <conditionalFormatting sqref="D141">
    <cfRule type="cellIs" dxfId="27" priority="21" stopIfTrue="1" operator="lessThan">
      <formula>#REF!</formula>
    </cfRule>
  </conditionalFormatting>
  <conditionalFormatting sqref="D143">
    <cfRule type="cellIs" dxfId="26" priority="20" stopIfTrue="1" operator="lessThan">
      <formula>#REF!</formula>
    </cfRule>
  </conditionalFormatting>
  <conditionalFormatting sqref="D145">
    <cfRule type="cellIs" dxfId="25" priority="19" stopIfTrue="1" operator="lessThan">
      <formula>#REF!</formula>
    </cfRule>
  </conditionalFormatting>
  <conditionalFormatting sqref="D147">
    <cfRule type="cellIs" dxfId="24" priority="18" stopIfTrue="1" operator="lessThan">
      <formula>#REF!</formula>
    </cfRule>
  </conditionalFormatting>
  <conditionalFormatting sqref="D149">
    <cfRule type="cellIs" dxfId="23" priority="17" stopIfTrue="1" operator="lessThan">
      <formula>#REF!</formula>
    </cfRule>
  </conditionalFormatting>
  <conditionalFormatting sqref="D151">
    <cfRule type="cellIs" dxfId="22" priority="16" stopIfTrue="1" operator="lessThan">
      <formula>#REF!</formula>
    </cfRule>
  </conditionalFormatting>
  <conditionalFormatting sqref="D153">
    <cfRule type="cellIs" dxfId="21" priority="15" stopIfTrue="1" operator="lessThan">
      <formula>#REF!</formula>
    </cfRule>
  </conditionalFormatting>
  <conditionalFormatting sqref="D155">
    <cfRule type="cellIs" dxfId="20" priority="14" stopIfTrue="1" operator="lessThan">
      <formula>#REF!</formula>
    </cfRule>
  </conditionalFormatting>
  <conditionalFormatting sqref="D157">
    <cfRule type="cellIs" dxfId="19" priority="13" stopIfTrue="1" operator="lessThan">
      <formula>#REF!</formula>
    </cfRule>
  </conditionalFormatting>
  <conditionalFormatting sqref="D161">
    <cfRule type="cellIs" dxfId="18" priority="12" stopIfTrue="1" operator="lessThan">
      <formula>#REF!</formula>
    </cfRule>
  </conditionalFormatting>
  <conditionalFormatting sqref="D165">
    <cfRule type="cellIs" dxfId="17" priority="11" stopIfTrue="1" operator="lessThan">
      <formula>#REF!</formula>
    </cfRule>
  </conditionalFormatting>
  <conditionalFormatting sqref="D170">
    <cfRule type="cellIs" dxfId="16" priority="10" stopIfTrue="1" operator="lessThan">
      <formula>#REF!</formula>
    </cfRule>
  </conditionalFormatting>
  <conditionalFormatting sqref="D172">
    <cfRule type="cellIs" dxfId="15" priority="9" stopIfTrue="1" operator="lessThan">
      <formula>#REF!</formula>
    </cfRule>
  </conditionalFormatting>
  <conditionalFormatting sqref="D174">
    <cfRule type="cellIs" dxfId="14" priority="8" stopIfTrue="1" operator="lessThan">
      <formula>#REF!</formula>
    </cfRule>
  </conditionalFormatting>
  <conditionalFormatting sqref="D176">
    <cfRule type="cellIs" dxfId="13" priority="7" stopIfTrue="1" operator="lessThan">
      <formula>#REF!</formula>
    </cfRule>
  </conditionalFormatting>
  <conditionalFormatting sqref="D178">
    <cfRule type="cellIs" dxfId="12" priority="6" stopIfTrue="1" operator="lessThan">
      <formula>#REF!</formula>
    </cfRule>
  </conditionalFormatting>
  <conditionalFormatting sqref="D184">
    <cfRule type="cellIs" dxfId="11" priority="5" stopIfTrue="1" operator="lessThan">
      <formula>#REF!</formula>
    </cfRule>
  </conditionalFormatting>
  <conditionalFormatting sqref="D188">
    <cfRule type="cellIs" dxfId="10" priority="4" stopIfTrue="1" operator="lessThan">
      <formula>#REF!</formula>
    </cfRule>
  </conditionalFormatting>
  <conditionalFormatting sqref="D190">
    <cfRule type="cellIs" dxfId="9" priority="3" stopIfTrue="1" operator="lessThan">
      <formula>#REF!</formula>
    </cfRule>
  </conditionalFormatting>
  <conditionalFormatting sqref="D192">
    <cfRule type="cellIs" dxfId="8" priority="2" stopIfTrue="1" operator="lessThan">
      <formula>#REF!</formula>
    </cfRule>
  </conditionalFormatting>
  <conditionalFormatting sqref="D198">
    <cfRule type="cellIs" dxfId="7" priority="1" stopIfTrue="1" operator="lessThan">
      <formula>#REF!</formula>
    </cfRule>
  </conditionalFormatting>
  <conditionalFormatting sqref="D210:D1048576">
    <cfRule type="expression" dxfId="6" priority="229">
      <formula>$B216&gt;""</formula>
    </cfRule>
  </conditionalFormatting>
  <conditionalFormatting sqref="F1:G1">
    <cfRule type="cellIs" dxfId="5" priority="66" operator="equal">
      <formula>TRUE</formula>
    </cfRule>
  </conditionalFormatting>
  <conditionalFormatting sqref="H3">
    <cfRule type="expression" dxfId="4" priority="67">
      <formula>$C3&gt;""</formula>
    </cfRule>
  </conditionalFormatting>
  <conditionalFormatting sqref="H4 J4">
    <cfRule type="expression" dxfId="3" priority="241">
      <formula>$I4&gt;""</formula>
    </cfRule>
  </conditionalFormatting>
  <conditionalFormatting sqref="J7">
    <cfRule type="expression" dxfId="2" priority="252">
      <formula>$I97&gt;""</formula>
    </cfRule>
  </conditionalFormatting>
  <conditionalFormatting sqref="M2">
    <cfRule type="expression" dxfId="1" priority="64">
      <formula>$C2&gt;""</formula>
    </cfRule>
  </conditionalFormatting>
  <conditionalFormatting sqref="N27">
    <cfRule type="expression" dxfId="0" priority="253">
      <formula>$I96&gt;""</formula>
    </cfRule>
  </conditionalFormatting>
  <pageMargins left="0.7" right="0.7" top="0.75" bottom="0.75" header="0.3" footer="0.3"/>
  <pageSetup paperSize="9" orientation="portrait" horizontalDpi="200" verticalDpi="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2FA53-DA8E-44A9-A9F4-989A3D874120}">
  <sheetPr codeName="Foglio7"/>
  <dimension ref="A1:B20"/>
  <sheetViews>
    <sheetView showGridLines="0" workbookViewId="0"/>
  </sheetViews>
  <sheetFormatPr defaultColWidth="0" defaultRowHeight="15" x14ac:dyDescent="0.25"/>
  <cols>
    <col min="1" max="1" width="177.7109375" customWidth="1"/>
    <col min="2" max="2" width="32.7109375" customWidth="1"/>
    <col min="3" max="16384" width="99.5703125" hidden="1"/>
  </cols>
  <sheetData>
    <row r="1" spans="1:2" ht="54" customHeight="1" x14ac:dyDescent="0.25"/>
    <row r="2" spans="1:2" ht="54" customHeight="1" x14ac:dyDescent="0.25"/>
    <row r="3" spans="1:2" ht="54" customHeight="1" x14ac:dyDescent="0.25"/>
    <row r="4" spans="1:2" ht="39.950000000000003" customHeight="1" x14ac:dyDescent="0.25">
      <c r="A4" s="153" t="s">
        <v>449</v>
      </c>
      <c r="B4" s="152"/>
    </row>
    <row r="5" spans="1:2" ht="51" customHeight="1" x14ac:dyDescent="0.25">
      <c r="A5" s="139" t="str" cm="1">
        <f t="array" aca="1" ref="A5:A18" ca="1">+_xlfn._xlws.FILTER(Relazione!L3:L99,(Relazione!L3:L99)&gt;0)</f>
        <v>ALFA S.R.L</v>
      </c>
      <c r="B5" s="138"/>
    </row>
    <row r="6" spans="1:2" s="1" customFormat="1" ht="33" customHeight="1" x14ac:dyDescent="0.25">
      <c r="A6" s="140">
        <f ca="1"/>
        <v>45253</v>
      </c>
    </row>
    <row r="7" spans="1:2" ht="24.95" customHeight="1" x14ac:dyDescent="0.25">
      <c r="A7" s="141" t="str">
        <f ca="1"/>
        <v>Il requisito dell’organizzazione dell’impresa</v>
      </c>
    </row>
    <row r="8" spans="1:2" s="1" customFormat="1" ht="174" customHeight="1" x14ac:dyDescent="0.25">
      <c r="A8" s="142" t="str">
        <f ca="1"/>
        <v>L’impresa non dispone delle risorse chiave (umane e tecniche) per la conduzione dell’attività.
Da un punto di vista tecnico/economico, l’impresa  non dispone delle competenze necessarie per le iniziative industriali che l’imprenditore intende adottare.
Il monitoraggio dell'andamento aziendale appare inadeguato. I ricavi non sono controllati in maniera adeguata. Gli ordini non sono controllati in maniera adeguata. La posizione finanziaria netta non è costantemente monitorata.
L'impresa non fa ancora ricorso a KPI che consentono valutazioni rapide e continue, non è in grado di individuare gli indicatori di produttività coerenti con il proprio modello di business ed il proprio settore di attività, e di raccogliere ulteriori informazioni per la valutazione dell’andamento tendenziale.
L'impresa non dispone di un piano di tesoreria a 12 mesi. Non è in grado di predisporre un prospetto delle stime delle entrate e delle uscite finanziare almeno a 13 settimane, il cui scostamento con l’andamento corrente dovrà essere valutato a consuntivo.</v>
      </c>
    </row>
    <row r="9" spans="1:2" s="2" customFormat="1" ht="24.95" customHeight="1" x14ac:dyDescent="0.25">
      <c r="A9" s="143" t="str">
        <f ca="1"/>
        <v>Rilevazione della situazione contabile e dell’andamento corrente</v>
      </c>
    </row>
    <row r="10" spans="1:2" s="1" customFormat="1" ht="220.5" customHeight="1" x14ac:dyDescent="0.25">
      <c r="A10" s="142" t="str">
        <f ca="1"/>
        <v>L'ultima situazione redatta risale a oltre 120 giorni. La situazione non è da considerarsi affidabile per quanto concerne la corretta rappresentazione della situazione debitoria dell'impresa. Il maggior contabile dei cespiti è superiore al valore di realizzo e a quello di mercato. Non esiste in azienda un prospetto recante l’anzianità dei crediti commerciali , non sono state analizzate le cause del ritardo di incasso tale da consentire una valutazione oggettiva dei rischi di perdite sui crediti e una stima prudente dei tempi di incasso. Non vi sono informazioni sufficienti per suddividere i crediti in base all'anzianità. Per gli scaduti che superano la fisiologia (tempi ordinari di pagamento, pur oltre la scadenza contrattuale, che caratterizzano il settore), la stima del momento dell’incasso non è da considerarsi sufficientemente prudente. Non è stato redatto alcun prospetto recante le rimanenze di magazzino con i tempi di movimentazione che consenta di individuare le giacenze oggetto di lenta rotazione.
L'impresa non ha redatto un prospetto di riconciliazione tra la contabilità e quanto risultante dal certificato unico dei debiti tributari, dalla situazione debitoria complessiva dell’Agente della Riscossione. Ha redatto un prospetto di riconciliazione tra la contabilità e quanto risultante dal certificato unico dei debiti contributivi e assicurativi
La Centrale rischi di Banca D'Italia non viene esaminata periodicamente e non riconciliata con la contabilità.
L’azienda non ha tenuto conto delle passività potenziali.
Esistono rilevanti rischi per garanzie concesse a terzi.
Non è stato nominato l'organo di controllo o il revisore legale.</v>
      </c>
    </row>
    <row r="11" spans="1:2" s="2" customFormat="1" ht="24.95" customHeight="1" x14ac:dyDescent="0.25">
      <c r="A11" s="143" t="str">
        <f ca="1"/>
        <v>Individuazione delle strategie di intervento atte a prevenire e rimuovere le cause della crisi</v>
      </c>
    </row>
    <row r="12" spans="1:2" s="1" customFormat="1" ht="348.75" customHeight="1" x14ac:dyDescent="0.25">
      <c r="A12" s="142" t="str">
        <f ca="1"/>
        <v>Esistono alcune evidenze tali da far presagire uno stato di crisi e o uno squilibrio economico patrimoniale.  Lo stato di crisi ha causato anomalie:
• da un punto di vista commerciale;
Da un punto di vista commerciale si sono verificati altro (specificare). 
 Nei rapporti con le banche sono state rilevate altro (specificare). 
 Da un punto di vista gestionale si segnala altro (specificare). 
 La situazione di difficoltà descritta ha causato un debito da ristrutturare (per mancati pagamenti e/o richieste di rientro) per altro (specificare). 
 Sul lato delle iniziative dei creditori si segnalano altro (specificare). 
 Tenuto conto delle manifestazioni, le cause sono: altro (specificare). L’organo di controllo ed il revisore, quando in carica, non ritengono che il quadro fornito dall’imprenditore sia completo e adeguato.
L'impresa non ha ancora individuato le strategie di intervento e le iniziative industriali che intende adottare.
Non esistono strategie di successo adottate dalla concorrenza. Tali strategie non sono adottabili dall'impresa. L’impresa non dispone delle capacità e delle competenze manageriali per realizzare le iniziative industriali. Per quanto concerne i tempi e gli effetti in termini di ricavi, di costi e di investimenti delle iniziative da adottare Indicare i tempi e i relativi effetti in termini di ricavi, di costi e di invesgtimenti delle iniziative da adottare.  Le relative funzioni aziendali responsabili sono Indicare quali sono le relative funzioni aziendali responsabili.  Non sono prospettabili iniziative alternative nel caso in cui le iniziative dovessero dimostrarsi inefficaci e si manifestassero scostamenti tra gli obiettivi pianificati e quelli raggiunti.
 Non sono mai stati predisposti piani aziendali. Il piano non è coerente con i piani redatti in precedenza e non vi sono differenze significative. Il piano non appare credibile. Non è fondato su intenzioni strategiche chiare e razionali, condivisibili da parte di un lettore informato quale è l’esperto, coerenti con la situazione di fatto dell’impresa e del contesto in cui opera.
Le strategie di intervento e le iniziative industriali individuate dall’imprenditore non appaiono appropriate per il superamento delle cause della crisi.</v>
      </c>
    </row>
    <row r="13" spans="1:2" s="2" customFormat="1" ht="36" customHeight="1" x14ac:dyDescent="0.25">
      <c r="A13" s="143" t="str">
        <f ca="1"/>
        <v>Le proiezioni dei flussi finanziari</v>
      </c>
    </row>
    <row r="14" spans="1:2" s="1" customFormat="1" ht="409.5" customHeight="1" x14ac:dyDescent="0.25">
      <c r="A14" s="146" t="str">
        <f ca="1"/>
        <v>La stima delle proiezioni dei flussi finanziari del piano è l'esito di un percorso che si dipana nelle seguenti fasi successive: altro (specificare). 
Le proiezioni fondate su previsioni non coprono un periodo massimo di 5 anni.
I ricavi sono stati stimati nel seguente modo: Indicare la stima dei ricavi.  Le proiezioni dei ricavi non sono coerenti con i dati storici e quelli correnti. Le variazioni dei ricavi prospettici rispetto al dato corrente dell’esercizio in corso sono state giustificate in maniera adeguata. Le variazioni dei ricavi del piano non sono state confrontate con le prospettive del settore.
La metodologia di stima dei costi variabili correlati ai ricavi e dei costi fissi è la seguente: Indicare la metodologia di stima dei costi variabili e dei costi fissi.  La stima dei costi variabili e dei costi di struttura non è coerente con la situazione in atto e con i dati storici. I risparmi dei costi variabili e fissi sono: Indicare i risparmi e come l’imprenditore intende conseguirli.  I possibili rischi che derivano dai risparmi di costo: Indicare i risparmi e come l’imprenditore intende conseguirli. 
La metodologia di stima degli investimenti è la seguente: Indicare la metodologia di stima degli investimenti. 
La società non svolge più attività.
Il piano non tiene conto in misura adeguata degli investimenti di mantenimento occorrenti.
La metodologia di stima degli effetti delle iniziative industriali che si intendono intraprendere in discontinuità rispetto al passato è la seguente: Indicare la metodologia di stima degli effetti delle iniziative industriali che si intendono intraprendere in discontinuità rispetto al passato.  La  stima degli effetti di tali iniziative (in termini di investimenti, ricavi e costi) non è coerente con le informazioni disponibili ed è ritenuta giustificata dalle diverse funzioni aziendali.
I dati economici prognostici non sono coerenti.
Non è stata svolta una verifica di ragionevolezza della redditività prospettica quale risulta dai paragrafi precedenti. La redditività ed i principali indicatori chiave gestionali (KPI) prospettici non sono coerenti con l’andamento storico. Non è giustificata ogni differenza tra l’incidenza del margine operativo lordo sui ricavi ed i benchmark di mercato disponibili. Non sono previste operazioni straordinarie.
Non è stata prevista la dismissione di cespiti d'investimento.
Non è stato stimato il pagamento delle imposte sul reddito.
Nella stima del pagamento delle imposte non si è tenuto conto dell’effetto delle perdite fiscali a nuovo e del periodo di imputazione fiscale dei costi e dei ricavi.
Non è presente declinazione finanziaria delle grandezze economiche e determinazione dei flussi al servizio del debito.
L'impresa non ha determinato le grandezze patrimoniali.
Su di esse non si innestano le poposte alle parti interessate e non viene calcolata la stima dell’andamento del patrimonio netto al termine dei singoli anni del piano.</v>
      </c>
    </row>
    <row r="15" spans="1:2" s="2" customFormat="1" ht="24.95" customHeight="1" x14ac:dyDescent="0.25">
      <c r="A15" s="143" t="str">
        <f ca="1"/>
        <v>L’impresa non è in grado in futuro di generare risorse al servizio del debito. Il risultato delle proiezioni finanziarie tende ad essere negativo.
Il piano non tiene conto, anche attraverso prove di resistenza (stress test), dei fattori di rischio e di incertezza ai quali è maggiormente esposta l’impresa. I test effettuati sono coerenti con i rischi emersi ad esito dell’intervista delle diverse funzioni aziendali avendo comunque riguardo alle prospettive di mercato.
La generazione di flussi positivi al servizio del debito non dipende solo dalle iniziative industriali.
Le proposte non consentono, in via prognostica, il rispetto del minimo legale del capitale sociale al momento della conclusione dell’accordo, fatte salve le disposizioni speciali.</v>
      </c>
    </row>
    <row r="16" spans="1:2" s="1" customFormat="1" ht="120" customHeight="1" x14ac:dyDescent="0.25">
      <c r="A16" s="142" t="str">
        <f ca="1"/>
        <v>Il piano è redatto per le singole imprese.
Il piano non dà evidenza dei rapporti economici, finanziari e patrimoniali infragruppo.
Non vi sono altre imprese del gruppo che presentano difficoltà economico-finanziarie o patrimoniali? 
Le operazioni infragruppo previste nel piano non possono arrecare un pregiudizio per i creditori di un’altra impresa del gruppo.</v>
      </c>
    </row>
    <row r="17" spans="1:1" s="2" customFormat="1" ht="80.099999999999994" customHeight="1" x14ac:dyDescent="0.25">
      <c r="A17" s="144" t="str">
        <f ca="1"/>
        <v>XXX</v>
      </c>
    </row>
    <row r="18" spans="1:1" ht="48.75" customHeight="1" x14ac:dyDescent="0.25">
      <c r="A18" s="145" t="str">
        <f ca="1"/>
        <v>_________________________________</v>
      </c>
    </row>
    <row r="19" spans="1:1" ht="105" customHeight="1" x14ac:dyDescent="0.25">
      <c r="A19" s="38"/>
    </row>
    <row r="20" spans="1:1" ht="35.25" customHeight="1" x14ac:dyDescent="0.25">
      <c r="A20" s="36"/>
    </row>
  </sheetData>
  <sheetProtection algorithmName="SHA-512" hashValue="ukwqfYL1+RlI9DQaX1P7ADEks7e0aG7bfmYJHZc408L4BmR5aGLhiOgRJ7uhRjWehYj/BWBjhzV4K0bhxzWuGA==" saltValue="5BCcMgbkbxIqA0Zm3kb3Yg==" spinCount="100000" sheet="1" objects="1" scenarios="1" selectLockedCells="1"/>
  <pageMargins left="0.7" right="0.7" top="0.75" bottom="0.75" header="0.3" footer="0.3"/>
  <pageSetup paperSize="9" orientation="portrait" horizontalDpi="200" verticalDpi="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9B2E99503D3AD4DA2231F0D240043DD" ma:contentTypeVersion="18" ma:contentTypeDescription="Creare un nuovo documento." ma:contentTypeScope="" ma:versionID="57b8045e8abefa85dedc7991371a38b2">
  <xsd:schema xmlns:xsd="http://www.w3.org/2001/XMLSchema" xmlns:xs="http://www.w3.org/2001/XMLSchema" xmlns:p="http://schemas.microsoft.com/office/2006/metadata/properties" xmlns:ns2="77a3f60d-3740-4b8f-aea2-18b203205ead" xmlns:ns3="6c014026-a0ef-45dc-9ca9-ac355db24e99" targetNamespace="http://schemas.microsoft.com/office/2006/metadata/properties" ma:root="true" ma:fieldsID="f5ecd2ee382a35af39c71524ba84a011" ns2:_="" ns3:_="">
    <xsd:import namespace="77a3f60d-3740-4b8f-aea2-18b203205ead"/>
    <xsd:import namespace="6c014026-a0ef-45dc-9ca9-ac355db24e9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a3f60d-3740-4b8f-aea2-18b203205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bbff36a2-fd21-4e1e-a182-03a870c089d7"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014026-a0ef-45dc-9ca9-ac355db24e99" elementFormDefault="qualified">
    <xsd:import namespace="http://schemas.microsoft.com/office/2006/documentManagement/types"/>
    <xsd:import namespace="http://schemas.microsoft.com/office/infopath/2007/PartnerControls"/>
    <xsd:element name="SharedWithUsers" ma:index="14"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8c17ed12-4c7d-4ce0-86b8-91d9357e9166}" ma:internalName="TaxCatchAll" ma:showField="CatchAllData" ma:web="6c014026-a0ef-45dc-9ca9-ac355db24e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TaxCatchAll xmlns="6c014026-a0ef-45dc-9ca9-ac355db24e99" xsi:nil="true"/>
    <lcf76f155ced4ddcb4097134ff3c332f xmlns="77a3f60d-3740-4b8f-aea2-18b203205ead">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6E0870-8713-4081-8D60-F4EF2F2198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a3f60d-3740-4b8f-aea2-18b203205ead"/>
    <ds:schemaRef ds:uri="6c014026-a0ef-45dc-9ca9-ac355db24e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6A38CA-65E3-42D8-8B2A-2920D4B8F21B}">
  <ds:schemaRefs>
    <ds:schemaRef ds:uri="http://schemas.microsoft.com/DataMashup"/>
  </ds:schemaRefs>
</ds:datastoreItem>
</file>

<file path=customXml/itemProps3.xml><?xml version="1.0" encoding="utf-8"?>
<ds:datastoreItem xmlns:ds="http://schemas.openxmlformats.org/officeDocument/2006/customXml" ds:itemID="{ECA1B038-8706-4EFF-BC5A-96D78D884455}">
  <ds:schemaRefs>
    <ds:schemaRef ds:uri="http://purl.org/dc/elements/1.1/"/>
    <ds:schemaRef ds:uri="http://www.w3.org/XML/1998/namespace"/>
    <ds:schemaRef ds:uri="6c014026-a0ef-45dc-9ca9-ac355db24e99"/>
    <ds:schemaRef ds:uri="http://schemas.openxmlformats.org/package/2006/metadata/core-properties"/>
    <ds:schemaRef ds:uri="http://schemas.microsoft.com/office/2006/documentManagement/types"/>
    <ds:schemaRef ds:uri="http://schemas.microsoft.com/office/infopath/2007/PartnerControls"/>
    <ds:schemaRef ds:uri="http://schemas.microsoft.com/office/2006/metadata/properties"/>
    <ds:schemaRef ds:uri="77a3f60d-3740-4b8f-aea2-18b203205ead"/>
    <ds:schemaRef ds:uri="http://purl.org/dc/dcmitype/"/>
    <ds:schemaRef ds:uri="http://purl.org/dc/terms/"/>
  </ds:schemaRefs>
</ds:datastoreItem>
</file>

<file path=customXml/itemProps4.xml><?xml version="1.0" encoding="utf-8"?>
<ds:datastoreItem xmlns:ds="http://schemas.openxmlformats.org/officeDocument/2006/customXml" ds:itemID="{48190B15-F6C1-467F-AF57-11D64E7257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5</vt:i4>
      </vt:variant>
      <vt:variant>
        <vt:lpstr>Intervalli denominati</vt:lpstr>
      </vt:variant>
      <vt:variant>
        <vt:i4>3</vt:i4>
      </vt:variant>
    </vt:vector>
  </HeadingPairs>
  <TitlesOfParts>
    <vt:vector size="8" baseType="lpstr">
      <vt:lpstr>SEZIONI 1-2</vt:lpstr>
      <vt:lpstr>SEZIONI 3-4</vt:lpstr>
      <vt:lpstr>SEZIONI 5-6</vt:lpstr>
      <vt:lpstr>Relazione</vt:lpstr>
      <vt:lpstr>Relazione Compatta (solo 365)</vt:lpstr>
      <vt:lpstr>Relazione!Area_stampa</vt:lpstr>
      <vt:lpstr>'Relazione Compatta (solo 365)'!Area_stampa</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Alessandro Pastore</dc:creator>
  <cp:lastModifiedBy>SUPPORTO OVERVIEW</cp:lastModifiedBy>
  <cp:lastPrinted>2023-06-09T13:16:40Z</cp:lastPrinted>
  <dcterms:created xsi:type="dcterms:W3CDTF">2023-04-11T15:21:13Z</dcterms:created>
  <dcterms:modified xsi:type="dcterms:W3CDTF">2024-01-10T15:08:08Z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0x01010049B2E99503D3AD4DA2231F0D240043DD</vt:lpwstr>
  </property>
  <property fmtid="{D5CDD505-2E9C-101B-9397-08002B2CF9AE}" pid="3" name="MediaServiceImageTags">
    <vt:lpwstr/>
  </property>
</Properties>
</file>